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0" documentId="8_{515773F5-F50D-44B2-9558-B0EEF425381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isultati" sheetId="1" r:id="rId1"/>
    <sheet name="Pagamenti" sheetId="2" r:id="rId2"/>
    <sheet name="Investimenti" sheetId="3" r:id="rId3"/>
    <sheet name="Impostazioni" sheetId="4" r:id="rId4"/>
    <sheet name="Valori fissi 2025" sheetId="5" r:id="rId5"/>
    <sheet name="Calcoli" sheetId="6" r:id="rId6"/>
    <sheet name="Somma Fatture ATECO" sheetId="7" r:id="rId7"/>
    <sheet name="Codici ATECO 2022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0" i="7" l="1"/>
  <c r="B1240" i="7"/>
  <c r="D1240" i="7" s="1"/>
  <c r="C1239" i="7"/>
  <c r="B1239" i="7"/>
  <c r="D1239" i="7" s="1"/>
  <c r="C1238" i="7"/>
  <c r="B1238" i="7"/>
  <c r="D1238" i="7" s="1"/>
  <c r="C1237" i="7"/>
  <c r="B1237" i="7"/>
  <c r="D1237" i="7" s="1"/>
  <c r="C1236" i="7"/>
  <c r="B1236" i="7"/>
  <c r="D1236" i="7" s="1"/>
  <c r="C1235" i="7"/>
  <c r="B1235" i="7"/>
  <c r="D1235" i="7" s="1"/>
  <c r="C1234" i="7"/>
  <c r="B1234" i="7"/>
  <c r="D1234" i="7" s="1"/>
  <c r="C1233" i="7"/>
  <c r="B1233" i="7"/>
  <c r="D1233" i="7" s="1"/>
  <c r="C1232" i="7"/>
  <c r="B1232" i="7"/>
  <c r="D1232" i="7" s="1"/>
  <c r="C1231" i="7"/>
  <c r="B1231" i="7"/>
  <c r="D1231" i="7" s="1"/>
  <c r="C1230" i="7"/>
  <c r="B1230" i="7"/>
  <c r="D1230" i="7" s="1"/>
  <c r="C1229" i="7"/>
  <c r="B1229" i="7"/>
  <c r="D1229" i="7" s="1"/>
  <c r="C1228" i="7"/>
  <c r="B1228" i="7"/>
  <c r="D1228" i="7" s="1"/>
  <c r="C1227" i="7"/>
  <c r="B1227" i="7"/>
  <c r="D1227" i="7" s="1"/>
  <c r="C1226" i="7"/>
  <c r="B1226" i="7"/>
  <c r="D1226" i="7" s="1"/>
  <c r="C1225" i="7"/>
  <c r="B1225" i="7"/>
  <c r="D1225" i="7" s="1"/>
  <c r="C1224" i="7"/>
  <c r="B1224" i="7"/>
  <c r="D1224" i="7" s="1"/>
  <c r="C1223" i="7"/>
  <c r="B1223" i="7"/>
  <c r="D1223" i="7" s="1"/>
  <c r="C1222" i="7"/>
  <c r="B1222" i="7"/>
  <c r="D1222" i="7" s="1"/>
  <c r="C1221" i="7"/>
  <c r="B1221" i="7"/>
  <c r="D1221" i="7" s="1"/>
  <c r="C1220" i="7"/>
  <c r="B1220" i="7"/>
  <c r="D1220" i="7" s="1"/>
  <c r="C1219" i="7"/>
  <c r="B1219" i="7"/>
  <c r="D1219" i="7" s="1"/>
  <c r="C1218" i="7"/>
  <c r="B1218" i="7"/>
  <c r="D1218" i="7" s="1"/>
  <c r="C1217" i="7"/>
  <c r="B1217" i="7"/>
  <c r="D1217" i="7" s="1"/>
  <c r="C1216" i="7"/>
  <c r="B1216" i="7"/>
  <c r="D1216" i="7" s="1"/>
  <c r="C1215" i="7"/>
  <c r="B1215" i="7"/>
  <c r="D1215" i="7" s="1"/>
  <c r="C1214" i="7"/>
  <c r="B1214" i="7"/>
  <c r="D1214" i="7" s="1"/>
  <c r="C1213" i="7"/>
  <c r="B1213" i="7"/>
  <c r="D1213" i="7" s="1"/>
  <c r="C1212" i="7"/>
  <c r="B1212" i="7"/>
  <c r="D1212" i="7" s="1"/>
  <c r="C1211" i="7"/>
  <c r="B1211" i="7"/>
  <c r="D1211" i="7" s="1"/>
  <c r="C1210" i="7"/>
  <c r="B1210" i="7"/>
  <c r="D1210" i="7" s="1"/>
  <c r="C1209" i="7"/>
  <c r="B1209" i="7"/>
  <c r="D1209" i="7" s="1"/>
  <c r="C1208" i="7"/>
  <c r="B1208" i="7"/>
  <c r="D1208" i="7" s="1"/>
  <c r="C1207" i="7"/>
  <c r="B1207" i="7"/>
  <c r="D1207" i="7" s="1"/>
  <c r="C1206" i="7"/>
  <c r="B1206" i="7"/>
  <c r="D1206" i="7" s="1"/>
  <c r="C1205" i="7"/>
  <c r="B1205" i="7"/>
  <c r="D1205" i="7" s="1"/>
  <c r="C1204" i="7"/>
  <c r="B1204" i="7"/>
  <c r="D1204" i="7" s="1"/>
  <c r="C1203" i="7"/>
  <c r="B1203" i="7"/>
  <c r="D1203" i="7" s="1"/>
  <c r="C1202" i="7"/>
  <c r="B1202" i="7"/>
  <c r="D1202" i="7" s="1"/>
  <c r="C1201" i="7"/>
  <c r="B1201" i="7"/>
  <c r="D1201" i="7" s="1"/>
  <c r="C1200" i="7"/>
  <c r="B1200" i="7"/>
  <c r="D1200" i="7" s="1"/>
  <c r="C1199" i="7"/>
  <c r="B1199" i="7"/>
  <c r="D1199" i="7" s="1"/>
  <c r="C1198" i="7"/>
  <c r="B1198" i="7"/>
  <c r="D1198" i="7" s="1"/>
  <c r="C1197" i="7"/>
  <c r="B1197" i="7"/>
  <c r="D1197" i="7" s="1"/>
  <c r="C1196" i="7"/>
  <c r="B1196" i="7"/>
  <c r="D1196" i="7" s="1"/>
  <c r="C1195" i="7"/>
  <c r="B1195" i="7"/>
  <c r="D1195" i="7" s="1"/>
  <c r="C1194" i="7"/>
  <c r="B1194" i="7"/>
  <c r="D1194" i="7" s="1"/>
  <c r="C1193" i="7"/>
  <c r="B1193" i="7"/>
  <c r="D1193" i="7" s="1"/>
  <c r="C1192" i="7"/>
  <c r="B1192" i="7"/>
  <c r="D1192" i="7" s="1"/>
  <c r="C1191" i="7"/>
  <c r="B1191" i="7"/>
  <c r="D1191" i="7" s="1"/>
  <c r="C1190" i="7"/>
  <c r="B1190" i="7"/>
  <c r="D1190" i="7" s="1"/>
  <c r="C1189" i="7"/>
  <c r="B1189" i="7"/>
  <c r="D1189" i="7" s="1"/>
  <c r="C1188" i="7"/>
  <c r="B1188" i="7"/>
  <c r="D1188" i="7" s="1"/>
  <c r="C1187" i="7"/>
  <c r="B1187" i="7"/>
  <c r="D1187" i="7" s="1"/>
  <c r="C1186" i="7"/>
  <c r="B1186" i="7"/>
  <c r="D1186" i="7" s="1"/>
  <c r="C1185" i="7"/>
  <c r="B1185" i="7"/>
  <c r="D1185" i="7" s="1"/>
  <c r="C1184" i="7"/>
  <c r="B1184" i="7"/>
  <c r="D1184" i="7" s="1"/>
  <c r="C1183" i="7"/>
  <c r="B1183" i="7"/>
  <c r="D1183" i="7" s="1"/>
  <c r="C1182" i="7"/>
  <c r="B1182" i="7"/>
  <c r="D1182" i="7" s="1"/>
  <c r="C1181" i="7"/>
  <c r="B1181" i="7"/>
  <c r="D1181" i="7" s="1"/>
  <c r="C1180" i="7"/>
  <c r="B1180" i="7"/>
  <c r="D1180" i="7" s="1"/>
  <c r="C1179" i="7"/>
  <c r="B1179" i="7"/>
  <c r="D1179" i="7" s="1"/>
  <c r="C1178" i="7"/>
  <c r="B1178" i="7"/>
  <c r="D1178" i="7" s="1"/>
  <c r="C1177" i="7"/>
  <c r="B1177" i="7"/>
  <c r="D1177" i="7" s="1"/>
  <c r="C1176" i="7"/>
  <c r="B1176" i="7"/>
  <c r="D1176" i="7" s="1"/>
  <c r="C1175" i="7"/>
  <c r="B1175" i="7"/>
  <c r="D1175" i="7" s="1"/>
  <c r="C1174" i="7"/>
  <c r="B1174" i="7"/>
  <c r="D1174" i="7" s="1"/>
  <c r="C1173" i="7"/>
  <c r="B1173" i="7"/>
  <c r="D1173" i="7" s="1"/>
  <c r="C1172" i="7"/>
  <c r="B1172" i="7"/>
  <c r="D1172" i="7" s="1"/>
  <c r="C1171" i="7"/>
  <c r="B1171" i="7"/>
  <c r="D1171" i="7" s="1"/>
  <c r="C1170" i="7"/>
  <c r="B1170" i="7"/>
  <c r="D1170" i="7" s="1"/>
  <c r="C1169" i="7"/>
  <c r="B1169" i="7"/>
  <c r="D1169" i="7" s="1"/>
  <c r="C1168" i="7"/>
  <c r="B1168" i="7"/>
  <c r="D1168" i="7" s="1"/>
  <c r="C1167" i="7"/>
  <c r="B1167" i="7"/>
  <c r="D1167" i="7" s="1"/>
  <c r="C1166" i="7"/>
  <c r="B1166" i="7"/>
  <c r="D1166" i="7" s="1"/>
  <c r="C1165" i="7"/>
  <c r="B1165" i="7"/>
  <c r="D1165" i="7" s="1"/>
  <c r="C1164" i="7"/>
  <c r="B1164" i="7"/>
  <c r="D1164" i="7" s="1"/>
  <c r="C1163" i="7"/>
  <c r="B1163" i="7"/>
  <c r="D1163" i="7" s="1"/>
  <c r="C1162" i="7"/>
  <c r="B1162" i="7"/>
  <c r="D1162" i="7" s="1"/>
  <c r="C1161" i="7"/>
  <c r="B1161" i="7"/>
  <c r="D1161" i="7" s="1"/>
  <c r="C1160" i="7"/>
  <c r="B1160" i="7"/>
  <c r="D1160" i="7" s="1"/>
  <c r="C1159" i="7"/>
  <c r="B1159" i="7"/>
  <c r="D1159" i="7" s="1"/>
  <c r="C1158" i="7"/>
  <c r="B1158" i="7"/>
  <c r="D1158" i="7" s="1"/>
  <c r="C1157" i="7"/>
  <c r="B1157" i="7"/>
  <c r="D1157" i="7" s="1"/>
  <c r="C1156" i="7"/>
  <c r="B1156" i="7"/>
  <c r="D1156" i="7" s="1"/>
  <c r="C1155" i="7"/>
  <c r="B1155" i="7"/>
  <c r="D1155" i="7" s="1"/>
  <c r="C1154" i="7"/>
  <c r="B1154" i="7"/>
  <c r="D1154" i="7" s="1"/>
  <c r="C1153" i="7"/>
  <c r="B1153" i="7"/>
  <c r="D1153" i="7" s="1"/>
  <c r="C1152" i="7"/>
  <c r="B1152" i="7"/>
  <c r="D1152" i="7" s="1"/>
  <c r="C1151" i="7"/>
  <c r="B1151" i="7"/>
  <c r="D1151" i="7" s="1"/>
  <c r="C1150" i="7"/>
  <c r="B1150" i="7"/>
  <c r="D1150" i="7" s="1"/>
  <c r="C1149" i="7"/>
  <c r="B1149" i="7"/>
  <c r="D1149" i="7" s="1"/>
  <c r="C1148" i="7"/>
  <c r="B1148" i="7"/>
  <c r="D1148" i="7" s="1"/>
  <c r="C1147" i="7"/>
  <c r="B1147" i="7"/>
  <c r="D1147" i="7" s="1"/>
  <c r="C1146" i="7"/>
  <c r="B1146" i="7"/>
  <c r="D1146" i="7" s="1"/>
  <c r="C1145" i="7"/>
  <c r="B1145" i="7"/>
  <c r="D1145" i="7" s="1"/>
  <c r="C1144" i="7"/>
  <c r="B1144" i="7"/>
  <c r="D1144" i="7" s="1"/>
  <c r="C1143" i="7"/>
  <c r="B1143" i="7"/>
  <c r="D1143" i="7" s="1"/>
  <c r="C1142" i="7"/>
  <c r="B1142" i="7"/>
  <c r="D1142" i="7" s="1"/>
  <c r="C1141" i="7"/>
  <c r="B1141" i="7"/>
  <c r="D1141" i="7" s="1"/>
  <c r="C1140" i="7"/>
  <c r="B1140" i="7"/>
  <c r="D1140" i="7" s="1"/>
  <c r="C1139" i="7"/>
  <c r="B1139" i="7"/>
  <c r="D1139" i="7" s="1"/>
  <c r="C1138" i="7"/>
  <c r="B1138" i="7"/>
  <c r="D1138" i="7" s="1"/>
  <c r="C1137" i="7"/>
  <c r="B1137" i="7"/>
  <c r="D1137" i="7" s="1"/>
  <c r="C1136" i="7"/>
  <c r="B1136" i="7"/>
  <c r="D1136" i="7" s="1"/>
  <c r="C1135" i="7"/>
  <c r="B1135" i="7"/>
  <c r="D1135" i="7" s="1"/>
  <c r="C1134" i="7"/>
  <c r="B1134" i="7"/>
  <c r="D1134" i="7" s="1"/>
  <c r="C1133" i="7"/>
  <c r="B1133" i="7"/>
  <c r="D1133" i="7" s="1"/>
  <c r="C1132" i="7"/>
  <c r="B1132" i="7"/>
  <c r="D1132" i="7" s="1"/>
  <c r="C1131" i="7"/>
  <c r="B1131" i="7"/>
  <c r="D1131" i="7" s="1"/>
  <c r="C1130" i="7"/>
  <c r="B1130" i="7"/>
  <c r="D1130" i="7" s="1"/>
  <c r="C1129" i="7"/>
  <c r="B1129" i="7"/>
  <c r="D1129" i="7" s="1"/>
  <c r="C1128" i="7"/>
  <c r="B1128" i="7"/>
  <c r="D1128" i="7" s="1"/>
  <c r="C1127" i="7"/>
  <c r="B1127" i="7"/>
  <c r="D1127" i="7" s="1"/>
  <c r="C1126" i="7"/>
  <c r="B1126" i="7"/>
  <c r="D1126" i="7" s="1"/>
  <c r="C1125" i="7"/>
  <c r="B1125" i="7"/>
  <c r="D1125" i="7" s="1"/>
  <c r="C1124" i="7"/>
  <c r="B1124" i="7"/>
  <c r="D1124" i="7" s="1"/>
  <c r="C1123" i="7"/>
  <c r="B1123" i="7"/>
  <c r="D1123" i="7" s="1"/>
  <c r="C1122" i="7"/>
  <c r="B1122" i="7"/>
  <c r="D1122" i="7" s="1"/>
  <c r="C1121" i="7"/>
  <c r="B1121" i="7"/>
  <c r="D1121" i="7" s="1"/>
  <c r="C1120" i="7"/>
  <c r="B1120" i="7"/>
  <c r="D1120" i="7" s="1"/>
  <c r="C1119" i="7"/>
  <c r="B1119" i="7"/>
  <c r="D1119" i="7" s="1"/>
  <c r="C1118" i="7"/>
  <c r="B1118" i="7"/>
  <c r="D1118" i="7" s="1"/>
  <c r="C1117" i="7"/>
  <c r="B1117" i="7"/>
  <c r="D1117" i="7" s="1"/>
  <c r="C1116" i="7"/>
  <c r="B1116" i="7"/>
  <c r="D1116" i="7" s="1"/>
  <c r="C1115" i="7"/>
  <c r="B1115" i="7"/>
  <c r="D1115" i="7" s="1"/>
  <c r="C1114" i="7"/>
  <c r="B1114" i="7"/>
  <c r="D1114" i="7" s="1"/>
  <c r="C1113" i="7"/>
  <c r="B1113" i="7"/>
  <c r="D1113" i="7" s="1"/>
  <c r="C1112" i="7"/>
  <c r="B1112" i="7"/>
  <c r="D1112" i="7" s="1"/>
  <c r="C1111" i="7"/>
  <c r="B1111" i="7"/>
  <c r="D1111" i="7" s="1"/>
  <c r="C1110" i="7"/>
  <c r="B1110" i="7"/>
  <c r="D1110" i="7" s="1"/>
  <c r="C1109" i="7"/>
  <c r="B1109" i="7"/>
  <c r="D1109" i="7" s="1"/>
  <c r="C1108" i="7"/>
  <c r="B1108" i="7"/>
  <c r="D1108" i="7" s="1"/>
  <c r="C1107" i="7"/>
  <c r="B1107" i="7"/>
  <c r="D1107" i="7" s="1"/>
  <c r="C1106" i="7"/>
  <c r="B1106" i="7"/>
  <c r="D1106" i="7" s="1"/>
  <c r="C1105" i="7"/>
  <c r="B1105" i="7"/>
  <c r="D1105" i="7" s="1"/>
  <c r="C1104" i="7"/>
  <c r="B1104" i="7"/>
  <c r="D1104" i="7" s="1"/>
  <c r="C1103" i="7"/>
  <c r="B1103" i="7"/>
  <c r="D1103" i="7" s="1"/>
  <c r="C1102" i="7"/>
  <c r="B1102" i="7"/>
  <c r="D1102" i="7" s="1"/>
  <c r="C1101" i="7"/>
  <c r="B1101" i="7"/>
  <c r="D1101" i="7" s="1"/>
  <c r="C1100" i="7"/>
  <c r="B1100" i="7"/>
  <c r="D1100" i="7" s="1"/>
  <c r="C1099" i="7"/>
  <c r="B1099" i="7"/>
  <c r="D1099" i="7" s="1"/>
  <c r="C1098" i="7"/>
  <c r="B1098" i="7"/>
  <c r="D1098" i="7" s="1"/>
  <c r="C1097" i="7"/>
  <c r="B1097" i="7"/>
  <c r="D1097" i="7" s="1"/>
  <c r="C1096" i="7"/>
  <c r="B1096" i="7"/>
  <c r="D1096" i="7" s="1"/>
  <c r="C1095" i="7"/>
  <c r="B1095" i="7"/>
  <c r="D1095" i="7" s="1"/>
  <c r="C1094" i="7"/>
  <c r="B1094" i="7"/>
  <c r="D1094" i="7" s="1"/>
  <c r="C1093" i="7"/>
  <c r="B1093" i="7"/>
  <c r="D1093" i="7" s="1"/>
  <c r="C1092" i="7"/>
  <c r="B1092" i="7"/>
  <c r="D1092" i="7" s="1"/>
  <c r="C1091" i="7"/>
  <c r="B1091" i="7"/>
  <c r="D1091" i="7" s="1"/>
  <c r="C1090" i="7"/>
  <c r="B1090" i="7"/>
  <c r="D1090" i="7" s="1"/>
  <c r="C1089" i="7"/>
  <c r="B1089" i="7"/>
  <c r="D1089" i="7" s="1"/>
  <c r="C1088" i="7"/>
  <c r="B1088" i="7"/>
  <c r="D1088" i="7" s="1"/>
  <c r="C1087" i="7"/>
  <c r="B1087" i="7"/>
  <c r="D1087" i="7" s="1"/>
  <c r="C1086" i="7"/>
  <c r="B1086" i="7"/>
  <c r="D1086" i="7" s="1"/>
  <c r="C1085" i="7"/>
  <c r="B1085" i="7"/>
  <c r="D1085" i="7" s="1"/>
  <c r="C1084" i="7"/>
  <c r="B1084" i="7"/>
  <c r="D1084" i="7" s="1"/>
  <c r="C1083" i="7"/>
  <c r="B1083" i="7"/>
  <c r="D1083" i="7" s="1"/>
  <c r="C1082" i="7"/>
  <c r="B1082" i="7"/>
  <c r="D1082" i="7" s="1"/>
  <c r="C1081" i="7"/>
  <c r="B1081" i="7"/>
  <c r="D1081" i="7" s="1"/>
  <c r="C1080" i="7"/>
  <c r="B1080" i="7"/>
  <c r="D1080" i="7" s="1"/>
  <c r="C1079" i="7"/>
  <c r="B1079" i="7"/>
  <c r="D1079" i="7" s="1"/>
  <c r="C1078" i="7"/>
  <c r="B1078" i="7"/>
  <c r="D1078" i="7" s="1"/>
  <c r="C1077" i="7"/>
  <c r="B1077" i="7"/>
  <c r="D1077" i="7" s="1"/>
  <c r="C1076" i="7"/>
  <c r="B1076" i="7"/>
  <c r="D1076" i="7" s="1"/>
  <c r="C1075" i="7"/>
  <c r="B1075" i="7"/>
  <c r="D1075" i="7" s="1"/>
  <c r="C1074" i="7"/>
  <c r="B1074" i="7"/>
  <c r="D1074" i="7" s="1"/>
  <c r="C1073" i="7"/>
  <c r="B1073" i="7"/>
  <c r="D1073" i="7" s="1"/>
  <c r="C1072" i="7"/>
  <c r="B1072" i="7"/>
  <c r="D1072" i="7" s="1"/>
  <c r="C1071" i="7"/>
  <c r="B1071" i="7"/>
  <c r="D1071" i="7" s="1"/>
  <c r="C1070" i="7"/>
  <c r="B1070" i="7"/>
  <c r="D1070" i="7" s="1"/>
  <c r="C1069" i="7"/>
  <c r="B1069" i="7"/>
  <c r="D1069" i="7" s="1"/>
  <c r="C1068" i="7"/>
  <c r="B1068" i="7"/>
  <c r="D1068" i="7" s="1"/>
  <c r="C1067" i="7"/>
  <c r="B1067" i="7"/>
  <c r="D1067" i="7" s="1"/>
  <c r="C1066" i="7"/>
  <c r="B1066" i="7"/>
  <c r="D1066" i="7" s="1"/>
  <c r="C1065" i="7"/>
  <c r="B1065" i="7"/>
  <c r="D1065" i="7" s="1"/>
  <c r="C1064" i="7"/>
  <c r="B1064" i="7"/>
  <c r="D1064" i="7" s="1"/>
  <c r="C1063" i="7"/>
  <c r="B1063" i="7"/>
  <c r="D1063" i="7" s="1"/>
  <c r="C1062" i="7"/>
  <c r="B1062" i="7"/>
  <c r="D1062" i="7" s="1"/>
  <c r="C1061" i="7"/>
  <c r="B1061" i="7"/>
  <c r="D1061" i="7" s="1"/>
  <c r="C1060" i="7"/>
  <c r="B1060" i="7"/>
  <c r="D1060" i="7" s="1"/>
  <c r="C1059" i="7"/>
  <c r="B1059" i="7"/>
  <c r="D1059" i="7" s="1"/>
  <c r="C1058" i="7"/>
  <c r="B1058" i="7"/>
  <c r="D1058" i="7" s="1"/>
  <c r="C1057" i="7"/>
  <c r="B1057" i="7"/>
  <c r="D1057" i="7" s="1"/>
  <c r="C1056" i="7"/>
  <c r="B1056" i="7"/>
  <c r="D1056" i="7" s="1"/>
  <c r="C1055" i="7"/>
  <c r="B1055" i="7"/>
  <c r="D1055" i="7" s="1"/>
  <c r="C1054" i="7"/>
  <c r="B1054" i="7"/>
  <c r="D1054" i="7" s="1"/>
  <c r="C1053" i="7"/>
  <c r="B1053" i="7"/>
  <c r="D1053" i="7" s="1"/>
  <c r="C1052" i="7"/>
  <c r="B1052" i="7"/>
  <c r="D1052" i="7" s="1"/>
  <c r="C1051" i="7"/>
  <c r="B1051" i="7"/>
  <c r="D1051" i="7" s="1"/>
  <c r="C1050" i="7"/>
  <c r="B1050" i="7"/>
  <c r="D1050" i="7" s="1"/>
  <c r="C1049" i="7"/>
  <c r="B1049" i="7"/>
  <c r="D1049" i="7" s="1"/>
  <c r="C1048" i="7"/>
  <c r="B1048" i="7"/>
  <c r="D1048" i="7" s="1"/>
  <c r="C1047" i="7"/>
  <c r="B1047" i="7"/>
  <c r="D1047" i="7" s="1"/>
  <c r="C1046" i="7"/>
  <c r="B1046" i="7"/>
  <c r="D1046" i="7" s="1"/>
  <c r="C1045" i="7"/>
  <c r="B1045" i="7"/>
  <c r="D1045" i="7" s="1"/>
  <c r="C1044" i="7"/>
  <c r="B1044" i="7"/>
  <c r="D1044" i="7" s="1"/>
  <c r="C1043" i="7"/>
  <c r="B1043" i="7"/>
  <c r="D1043" i="7" s="1"/>
  <c r="C1042" i="7"/>
  <c r="B1042" i="7"/>
  <c r="D1042" i="7" s="1"/>
  <c r="C1041" i="7"/>
  <c r="B1041" i="7"/>
  <c r="D1041" i="7" s="1"/>
  <c r="C1040" i="7"/>
  <c r="B1040" i="7"/>
  <c r="D1040" i="7" s="1"/>
  <c r="C1039" i="7"/>
  <c r="B1039" i="7"/>
  <c r="D1039" i="7" s="1"/>
  <c r="C1038" i="7"/>
  <c r="B1038" i="7"/>
  <c r="D1038" i="7" s="1"/>
  <c r="C1037" i="7"/>
  <c r="B1037" i="7"/>
  <c r="D1037" i="7" s="1"/>
  <c r="C1036" i="7"/>
  <c r="B1036" i="7"/>
  <c r="D1036" i="7" s="1"/>
  <c r="C1035" i="7"/>
  <c r="B1035" i="7"/>
  <c r="D1035" i="7" s="1"/>
  <c r="C1034" i="7"/>
  <c r="B1034" i="7"/>
  <c r="D1034" i="7" s="1"/>
  <c r="C1033" i="7"/>
  <c r="B1033" i="7"/>
  <c r="D1033" i="7" s="1"/>
  <c r="C1032" i="7"/>
  <c r="B1032" i="7"/>
  <c r="D1032" i="7" s="1"/>
  <c r="C1031" i="7"/>
  <c r="B1031" i="7"/>
  <c r="D1031" i="7" s="1"/>
  <c r="C1030" i="7"/>
  <c r="B1030" i="7"/>
  <c r="D1030" i="7" s="1"/>
  <c r="C1029" i="7"/>
  <c r="B1029" i="7"/>
  <c r="D1029" i="7" s="1"/>
  <c r="C1028" i="7"/>
  <c r="B1028" i="7"/>
  <c r="D1028" i="7" s="1"/>
  <c r="C1027" i="7"/>
  <c r="B1027" i="7"/>
  <c r="D1027" i="7" s="1"/>
  <c r="C1026" i="7"/>
  <c r="B1026" i="7"/>
  <c r="D1026" i="7" s="1"/>
  <c r="C1025" i="7"/>
  <c r="B1025" i="7"/>
  <c r="D1025" i="7" s="1"/>
  <c r="C1024" i="7"/>
  <c r="B1024" i="7"/>
  <c r="D1024" i="7" s="1"/>
  <c r="C1023" i="7"/>
  <c r="B1023" i="7"/>
  <c r="D1023" i="7" s="1"/>
  <c r="C1022" i="7"/>
  <c r="B1022" i="7"/>
  <c r="D1022" i="7" s="1"/>
  <c r="C1021" i="7"/>
  <c r="B1021" i="7"/>
  <c r="D1021" i="7" s="1"/>
  <c r="C1020" i="7"/>
  <c r="B1020" i="7"/>
  <c r="D1020" i="7" s="1"/>
  <c r="C1019" i="7"/>
  <c r="B1019" i="7"/>
  <c r="D1019" i="7" s="1"/>
  <c r="C1018" i="7"/>
  <c r="B1018" i="7"/>
  <c r="D1018" i="7" s="1"/>
  <c r="C1017" i="7"/>
  <c r="B1017" i="7"/>
  <c r="D1017" i="7" s="1"/>
  <c r="C1016" i="7"/>
  <c r="B1016" i="7"/>
  <c r="D1016" i="7" s="1"/>
  <c r="C1015" i="7"/>
  <c r="B1015" i="7"/>
  <c r="D1015" i="7" s="1"/>
  <c r="C1014" i="7"/>
  <c r="B1014" i="7"/>
  <c r="D1014" i="7" s="1"/>
  <c r="C1013" i="7"/>
  <c r="B1013" i="7"/>
  <c r="D1013" i="7" s="1"/>
  <c r="C1012" i="7"/>
  <c r="B1012" i="7"/>
  <c r="D1012" i="7" s="1"/>
  <c r="C1011" i="7"/>
  <c r="B1011" i="7"/>
  <c r="D1011" i="7" s="1"/>
  <c r="C1010" i="7"/>
  <c r="B1010" i="7"/>
  <c r="D1010" i="7" s="1"/>
  <c r="C1009" i="7"/>
  <c r="B1009" i="7"/>
  <c r="D1009" i="7" s="1"/>
  <c r="C1008" i="7"/>
  <c r="B1008" i="7"/>
  <c r="D1008" i="7" s="1"/>
  <c r="C1007" i="7"/>
  <c r="B1007" i="7"/>
  <c r="D1007" i="7" s="1"/>
  <c r="C1006" i="7"/>
  <c r="B1006" i="7"/>
  <c r="D1006" i="7" s="1"/>
  <c r="C1005" i="7"/>
  <c r="B1005" i="7"/>
  <c r="D1005" i="7" s="1"/>
  <c r="C1004" i="7"/>
  <c r="B1004" i="7"/>
  <c r="D1004" i="7" s="1"/>
  <c r="C1003" i="7"/>
  <c r="B1003" i="7"/>
  <c r="D1003" i="7" s="1"/>
  <c r="C1002" i="7"/>
  <c r="B1002" i="7"/>
  <c r="D1002" i="7" s="1"/>
  <c r="C1001" i="7"/>
  <c r="B1001" i="7"/>
  <c r="D1001" i="7" s="1"/>
  <c r="C1000" i="7"/>
  <c r="B1000" i="7"/>
  <c r="D1000" i="7" s="1"/>
  <c r="C999" i="7"/>
  <c r="B999" i="7"/>
  <c r="D999" i="7" s="1"/>
  <c r="C998" i="7"/>
  <c r="B998" i="7"/>
  <c r="D998" i="7" s="1"/>
  <c r="C997" i="7"/>
  <c r="B997" i="7"/>
  <c r="D997" i="7" s="1"/>
  <c r="C996" i="7"/>
  <c r="B996" i="7"/>
  <c r="D996" i="7" s="1"/>
  <c r="C995" i="7"/>
  <c r="B995" i="7"/>
  <c r="D995" i="7" s="1"/>
  <c r="C994" i="7"/>
  <c r="B994" i="7"/>
  <c r="D994" i="7" s="1"/>
  <c r="C993" i="7"/>
  <c r="B993" i="7"/>
  <c r="D993" i="7" s="1"/>
  <c r="C992" i="7"/>
  <c r="B992" i="7"/>
  <c r="D992" i="7" s="1"/>
  <c r="C991" i="7"/>
  <c r="B991" i="7"/>
  <c r="D991" i="7" s="1"/>
  <c r="C990" i="7"/>
  <c r="B990" i="7"/>
  <c r="D990" i="7" s="1"/>
  <c r="C989" i="7"/>
  <c r="B989" i="7"/>
  <c r="D989" i="7" s="1"/>
  <c r="C988" i="7"/>
  <c r="B988" i="7"/>
  <c r="D988" i="7" s="1"/>
  <c r="C987" i="7"/>
  <c r="B987" i="7"/>
  <c r="D987" i="7" s="1"/>
  <c r="C986" i="7"/>
  <c r="B986" i="7"/>
  <c r="D986" i="7" s="1"/>
  <c r="C985" i="7"/>
  <c r="B985" i="7"/>
  <c r="D985" i="7" s="1"/>
  <c r="C984" i="7"/>
  <c r="B984" i="7"/>
  <c r="D984" i="7" s="1"/>
  <c r="C983" i="7"/>
  <c r="B983" i="7"/>
  <c r="D983" i="7" s="1"/>
  <c r="C982" i="7"/>
  <c r="B982" i="7"/>
  <c r="D982" i="7" s="1"/>
  <c r="C981" i="7"/>
  <c r="B981" i="7"/>
  <c r="D981" i="7" s="1"/>
  <c r="C980" i="7"/>
  <c r="B980" i="7"/>
  <c r="D980" i="7" s="1"/>
  <c r="C979" i="7"/>
  <c r="B979" i="7"/>
  <c r="D979" i="7" s="1"/>
  <c r="C978" i="7"/>
  <c r="B978" i="7"/>
  <c r="D978" i="7" s="1"/>
  <c r="C977" i="7"/>
  <c r="B977" i="7"/>
  <c r="D977" i="7" s="1"/>
  <c r="C976" i="7"/>
  <c r="B976" i="7"/>
  <c r="D976" i="7" s="1"/>
  <c r="C975" i="7"/>
  <c r="B975" i="7"/>
  <c r="D975" i="7" s="1"/>
  <c r="C974" i="7"/>
  <c r="B974" i="7"/>
  <c r="D974" i="7" s="1"/>
  <c r="C973" i="7"/>
  <c r="B973" i="7"/>
  <c r="D973" i="7" s="1"/>
  <c r="C972" i="7"/>
  <c r="B972" i="7"/>
  <c r="D972" i="7" s="1"/>
  <c r="C971" i="7"/>
  <c r="B971" i="7"/>
  <c r="D971" i="7" s="1"/>
  <c r="C970" i="7"/>
  <c r="B970" i="7"/>
  <c r="D970" i="7" s="1"/>
  <c r="C969" i="7"/>
  <c r="B969" i="7"/>
  <c r="D969" i="7" s="1"/>
  <c r="C968" i="7"/>
  <c r="B968" i="7"/>
  <c r="D968" i="7" s="1"/>
  <c r="C967" i="7"/>
  <c r="B967" i="7"/>
  <c r="D967" i="7" s="1"/>
  <c r="C966" i="7"/>
  <c r="B966" i="7"/>
  <c r="D966" i="7" s="1"/>
  <c r="C965" i="7"/>
  <c r="B965" i="7"/>
  <c r="D965" i="7" s="1"/>
  <c r="C964" i="7"/>
  <c r="B964" i="7"/>
  <c r="D964" i="7" s="1"/>
  <c r="C963" i="7"/>
  <c r="B963" i="7"/>
  <c r="D963" i="7" s="1"/>
  <c r="C962" i="7"/>
  <c r="B962" i="7"/>
  <c r="D962" i="7" s="1"/>
  <c r="C961" i="7"/>
  <c r="B961" i="7"/>
  <c r="D961" i="7" s="1"/>
  <c r="C960" i="7"/>
  <c r="B960" i="7"/>
  <c r="D960" i="7" s="1"/>
  <c r="C959" i="7"/>
  <c r="B959" i="7"/>
  <c r="D959" i="7" s="1"/>
  <c r="C958" i="7"/>
  <c r="B958" i="7"/>
  <c r="D958" i="7" s="1"/>
  <c r="C957" i="7"/>
  <c r="B957" i="7"/>
  <c r="D957" i="7" s="1"/>
  <c r="C956" i="7"/>
  <c r="B956" i="7"/>
  <c r="D956" i="7" s="1"/>
  <c r="C955" i="7"/>
  <c r="B955" i="7"/>
  <c r="D955" i="7" s="1"/>
  <c r="C954" i="7"/>
  <c r="B954" i="7"/>
  <c r="D954" i="7" s="1"/>
  <c r="C953" i="7"/>
  <c r="B953" i="7"/>
  <c r="D953" i="7" s="1"/>
  <c r="C952" i="7"/>
  <c r="B952" i="7"/>
  <c r="D952" i="7" s="1"/>
  <c r="C951" i="7"/>
  <c r="B951" i="7"/>
  <c r="D951" i="7" s="1"/>
  <c r="C950" i="7"/>
  <c r="B950" i="7"/>
  <c r="D950" i="7" s="1"/>
  <c r="C949" i="7"/>
  <c r="B949" i="7"/>
  <c r="D949" i="7" s="1"/>
  <c r="C948" i="7"/>
  <c r="B948" i="7"/>
  <c r="D948" i="7" s="1"/>
  <c r="C947" i="7"/>
  <c r="B947" i="7"/>
  <c r="D947" i="7" s="1"/>
  <c r="C946" i="7"/>
  <c r="B946" i="7"/>
  <c r="D946" i="7" s="1"/>
  <c r="C945" i="7"/>
  <c r="B945" i="7"/>
  <c r="D945" i="7" s="1"/>
  <c r="C944" i="7"/>
  <c r="B944" i="7"/>
  <c r="D944" i="7" s="1"/>
  <c r="C943" i="7"/>
  <c r="B943" i="7"/>
  <c r="D943" i="7" s="1"/>
  <c r="C942" i="7"/>
  <c r="B942" i="7"/>
  <c r="D942" i="7" s="1"/>
  <c r="C941" i="7"/>
  <c r="B941" i="7"/>
  <c r="D941" i="7" s="1"/>
  <c r="C940" i="7"/>
  <c r="B940" i="7"/>
  <c r="D940" i="7" s="1"/>
  <c r="C939" i="7"/>
  <c r="B939" i="7"/>
  <c r="D939" i="7" s="1"/>
  <c r="C938" i="7"/>
  <c r="B938" i="7"/>
  <c r="D938" i="7" s="1"/>
  <c r="C937" i="7"/>
  <c r="B937" i="7"/>
  <c r="D937" i="7" s="1"/>
  <c r="C936" i="7"/>
  <c r="B936" i="7"/>
  <c r="D936" i="7" s="1"/>
  <c r="C935" i="7"/>
  <c r="B935" i="7"/>
  <c r="D935" i="7" s="1"/>
  <c r="C934" i="7"/>
  <c r="B934" i="7"/>
  <c r="D934" i="7" s="1"/>
  <c r="C933" i="7"/>
  <c r="B933" i="7"/>
  <c r="D933" i="7" s="1"/>
  <c r="C932" i="7"/>
  <c r="B932" i="7"/>
  <c r="D932" i="7" s="1"/>
  <c r="C931" i="7"/>
  <c r="B931" i="7"/>
  <c r="D931" i="7" s="1"/>
  <c r="C930" i="7"/>
  <c r="B930" i="7"/>
  <c r="D930" i="7" s="1"/>
  <c r="C929" i="7"/>
  <c r="B929" i="7"/>
  <c r="D929" i="7" s="1"/>
  <c r="C928" i="7"/>
  <c r="B928" i="7"/>
  <c r="D928" i="7" s="1"/>
  <c r="C927" i="7"/>
  <c r="B927" i="7"/>
  <c r="D927" i="7" s="1"/>
  <c r="C926" i="7"/>
  <c r="B926" i="7"/>
  <c r="D926" i="7" s="1"/>
  <c r="C925" i="7"/>
  <c r="B925" i="7"/>
  <c r="D925" i="7" s="1"/>
  <c r="C924" i="7"/>
  <c r="B924" i="7"/>
  <c r="D924" i="7" s="1"/>
  <c r="C923" i="7"/>
  <c r="B923" i="7"/>
  <c r="D923" i="7" s="1"/>
  <c r="C922" i="7"/>
  <c r="B922" i="7"/>
  <c r="D922" i="7" s="1"/>
  <c r="C921" i="7"/>
  <c r="B921" i="7"/>
  <c r="D921" i="7" s="1"/>
  <c r="C920" i="7"/>
  <c r="B920" i="7"/>
  <c r="D920" i="7" s="1"/>
  <c r="C919" i="7"/>
  <c r="B919" i="7"/>
  <c r="D919" i="7" s="1"/>
  <c r="C918" i="7"/>
  <c r="B918" i="7"/>
  <c r="D918" i="7" s="1"/>
  <c r="C917" i="7"/>
  <c r="B917" i="7"/>
  <c r="D917" i="7" s="1"/>
  <c r="C916" i="7"/>
  <c r="B916" i="7"/>
  <c r="D916" i="7" s="1"/>
  <c r="C915" i="7"/>
  <c r="B915" i="7"/>
  <c r="D915" i="7" s="1"/>
  <c r="C914" i="7"/>
  <c r="B914" i="7"/>
  <c r="D914" i="7" s="1"/>
  <c r="C913" i="7"/>
  <c r="B913" i="7"/>
  <c r="D913" i="7" s="1"/>
  <c r="C912" i="7"/>
  <c r="B912" i="7"/>
  <c r="D912" i="7" s="1"/>
  <c r="C911" i="7"/>
  <c r="B911" i="7"/>
  <c r="D911" i="7" s="1"/>
  <c r="C910" i="7"/>
  <c r="B910" i="7"/>
  <c r="D910" i="7" s="1"/>
  <c r="C909" i="7"/>
  <c r="B909" i="7"/>
  <c r="D909" i="7" s="1"/>
  <c r="C908" i="7"/>
  <c r="B908" i="7"/>
  <c r="D908" i="7" s="1"/>
  <c r="C907" i="7"/>
  <c r="B907" i="7"/>
  <c r="D907" i="7" s="1"/>
  <c r="C906" i="7"/>
  <c r="B906" i="7"/>
  <c r="D906" i="7" s="1"/>
  <c r="C905" i="7"/>
  <c r="B905" i="7"/>
  <c r="D905" i="7" s="1"/>
  <c r="C904" i="7"/>
  <c r="B904" i="7"/>
  <c r="D904" i="7" s="1"/>
  <c r="C903" i="7"/>
  <c r="B903" i="7"/>
  <c r="D903" i="7" s="1"/>
  <c r="C902" i="7"/>
  <c r="B902" i="7"/>
  <c r="D902" i="7" s="1"/>
  <c r="C901" i="7"/>
  <c r="B901" i="7"/>
  <c r="D901" i="7" s="1"/>
  <c r="C900" i="7"/>
  <c r="B900" i="7"/>
  <c r="D900" i="7" s="1"/>
  <c r="C899" i="7"/>
  <c r="B899" i="7"/>
  <c r="D899" i="7" s="1"/>
  <c r="C898" i="7"/>
  <c r="B898" i="7"/>
  <c r="D898" i="7" s="1"/>
  <c r="C897" i="7"/>
  <c r="B897" i="7"/>
  <c r="D897" i="7" s="1"/>
  <c r="C896" i="7"/>
  <c r="B896" i="7"/>
  <c r="D896" i="7" s="1"/>
  <c r="C895" i="7"/>
  <c r="B895" i="7"/>
  <c r="D895" i="7" s="1"/>
  <c r="C894" i="7"/>
  <c r="B894" i="7"/>
  <c r="D894" i="7" s="1"/>
  <c r="C893" i="7"/>
  <c r="B893" i="7"/>
  <c r="D893" i="7" s="1"/>
  <c r="C892" i="7"/>
  <c r="B892" i="7"/>
  <c r="D892" i="7" s="1"/>
  <c r="C891" i="7"/>
  <c r="B891" i="7"/>
  <c r="D891" i="7" s="1"/>
  <c r="C890" i="7"/>
  <c r="B890" i="7"/>
  <c r="D890" i="7" s="1"/>
  <c r="C889" i="7"/>
  <c r="B889" i="7"/>
  <c r="D889" i="7" s="1"/>
  <c r="C888" i="7"/>
  <c r="B888" i="7"/>
  <c r="D888" i="7" s="1"/>
  <c r="C887" i="7"/>
  <c r="B887" i="7"/>
  <c r="D887" i="7" s="1"/>
  <c r="C886" i="7"/>
  <c r="B886" i="7"/>
  <c r="D886" i="7" s="1"/>
  <c r="C885" i="7"/>
  <c r="B885" i="7"/>
  <c r="D885" i="7" s="1"/>
  <c r="C884" i="7"/>
  <c r="B884" i="7"/>
  <c r="D884" i="7" s="1"/>
  <c r="C883" i="7"/>
  <c r="B883" i="7"/>
  <c r="D883" i="7" s="1"/>
  <c r="C882" i="7"/>
  <c r="B882" i="7"/>
  <c r="D882" i="7" s="1"/>
  <c r="C881" i="7"/>
  <c r="B881" i="7"/>
  <c r="D881" i="7" s="1"/>
  <c r="C880" i="7"/>
  <c r="B880" i="7"/>
  <c r="D880" i="7" s="1"/>
  <c r="C879" i="7"/>
  <c r="B879" i="7"/>
  <c r="D879" i="7" s="1"/>
  <c r="C878" i="7"/>
  <c r="B878" i="7"/>
  <c r="D878" i="7" s="1"/>
  <c r="C877" i="7"/>
  <c r="B877" i="7"/>
  <c r="D877" i="7" s="1"/>
  <c r="C876" i="7"/>
  <c r="B876" i="7"/>
  <c r="D876" i="7" s="1"/>
  <c r="C875" i="7"/>
  <c r="B875" i="7"/>
  <c r="D875" i="7" s="1"/>
  <c r="C874" i="7"/>
  <c r="B874" i="7"/>
  <c r="D874" i="7" s="1"/>
  <c r="C873" i="7"/>
  <c r="B873" i="7"/>
  <c r="D873" i="7" s="1"/>
  <c r="C872" i="7"/>
  <c r="B872" i="7"/>
  <c r="D872" i="7" s="1"/>
  <c r="C871" i="7"/>
  <c r="B871" i="7"/>
  <c r="D871" i="7" s="1"/>
  <c r="C870" i="7"/>
  <c r="B870" i="7"/>
  <c r="D870" i="7" s="1"/>
  <c r="C869" i="7"/>
  <c r="B869" i="7"/>
  <c r="D869" i="7" s="1"/>
  <c r="C868" i="7"/>
  <c r="B868" i="7"/>
  <c r="D868" i="7" s="1"/>
  <c r="C867" i="7"/>
  <c r="B867" i="7"/>
  <c r="D867" i="7" s="1"/>
  <c r="C866" i="7"/>
  <c r="B866" i="7"/>
  <c r="D866" i="7" s="1"/>
  <c r="C865" i="7"/>
  <c r="B865" i="7"/>
  <c r="D865" i="7" s="1"/>
  <c r="C864" i="7"/>
  <c r="B864" i="7"/>
  <c r="D864" i="7" s="1"/>
  <c r="C863" i="7"/>
  <c r="B863" i="7"/>
  <c r="D863" i="7" s="1"/>
  <c r="C862" i="7"/>
  <c r="B862" i="7"/>
  <c r="D862" i="7" s="1"/>
  <c r="C861" i="7"/>
  <c r="B861" i="7"/>
  <c r="D861" i="7" s="1"/>
  <c r="C860" i="7"/>
  <c r="B860" i="7"/>
  <c r="D860" i="7" s="1"/>
  <c r="C859" i="7"/>
  <c r="B859" i="7"/>
  <c r="D859" i="7" s="1"/>
  <c r="C858" i="7"/>
  <c r="B858" i="7"/>
  <c r="D858" i="7" s="1"/>
  <c r="C857" i="7"/>
  <c r="B857" i="7"/>
  <c r="D857" i="7" s="1"/>
  <c r="C856" i="7"/>
  <c r="B856" i="7"/>
  <c r="D856" i="7" s="1"/>
  <c r="C855" i="7"/>
  <c r="B855" i="7"/>
  <c r="D855" i="7" s="1"/>
  <c r="C854" i="7"/>
  <c r="B854" i="7"/>
  <c r="D854" i="7" s="1"/>
  <c r="C853" i="7"/>
  <c r="B853" i="7"/>
  <c r="D853" i="7" s="1"/>
  <c r="C852" i="7"/>
  <c r="B852" i="7"/>
  <c r="D852" i="7" s="1"/>
  <c r="C851" i="7"/>
  <c r="B851" i="7"/>
  <c r="D851" i="7" s="1"/>
  <c r="C850" i="7"/>
  <c r="B850" i="7"/>
  <c r="D850" i="7" s="1"/>
  <c r="C849" i="7"/>
  <c r="B849" i="7"/>
  <c r="D849" i="7" s="1"/>
  <c r="C848" i="7"/>
  <c r="B848" i="7"/>
  <c r="D848" i="7" s="1"/>
  <c r="C847" i="7"/>
  <c r="B847" i="7"/>
  <c r="D847" i="7" s="1"/>
  <c r="C846" i="7"/>
  <c r="B846" i="7"/>
  <c r="D846" i="7" s="1"/>
  <c r="C845" i="7"/>
  <c r="B845" i="7"/>
  <c r="D845" i="7" s="1"/>
  <c r="C844" i="7"/>
  <c r="B844" i="7"/>
  <c r="D844" i="7" s="1"/>
  <c r="C843" i="7"/>
  <c r="B843" i="7"/>
  <c r="D843" i="7" s="1"/>
  <c r="C842" i="7"/>
  <c r="B842" i="7"/>
  <c r="D842" i="7" s="1"/>
  <c r="C841" i="7"/>
  <c r="B841" i="7"/>
  <c r="D841" i="7" s="1"/>
  <c r="C840" i="7"/>
  <c r="B840" i="7"/>
  <c r="D840" i="7" s="1"/>
  <c r="C839" i="7"/>
  <c r="B839" i="7"/>
  <c r="D839" i="7" s="1"/>
  <c r="C838" i="7"/>
  <c r="B838" i="7"/>
  <c r="D838" i="7" s="1"/>
  <c r="C837" i="7"/>
  <c r="B837" i="7"/>
  <c r="D837" i="7" s="1"/>
  <c r="C836" i="7"/>
  <c r="B836" i="7"/>
  <c r="D836" i="7" s="1"/>
  <c r="C835" i="7"/>
  <c r="B835" i="7"/>
  <c r="D835" i="7" s="1"/>
  <c r="C834" i="7"/>
  <c r="B834" i="7"/>
  <c r="D834" i="7" s="1"/>
  <c r="C833" i="7"/>
  <c r="B833" i="7"/>
  <c r="D833" i="7" s="1"/>
  <c r="C832" i="7"/>
  <c r="B832" i="7"/>
  <c r="D832" i="7" s="1"/>
  <c r="C831" i="7"/>
  <c r="B831" i="7"/>
  <c r="D831" i="7" s="1"/>
  <c r="C830" i="7"/>
  <c r="B830" i="7"/>
  <c r="D830" i="7" s="1"/>
  <c r="C829" i="7"/>
  <c r="B829" i="7"/>
  <c r="D829" i="7" s="1"/>
  <c r="C828" i="7"/>
  <c r="B828" i="7"/>
  <c r="D828" i="7" s="1"/>
  <c r="C827" i="7"/>
  <c r="B827" i="7"/>
  <c r="D827" i="7" s="1"/>
  <c r="C826" i="7"/>
  <c r="B826" i="7"/>
  <c r="D826" i="7" s="1"/>
  <c r="C825" i="7"/>
  <c r="B825" i="7"/>
  <c r="D825" i="7" s="1"/>
  <c r="C824" i="7"/>
  <c r="B824" i="7"/>
  <c r="D824" i="7" s="1"/>
  <c r="C823" i="7"/>
  <c r="B823" i="7"/>
  <c r="D823" i="7" s="1"/>
  <c r="C822" i="7"/>
  <c r="B822" i="7"/>
  <c r="D822" i="7" s="1"/>
  <c r="C821" i="7"/>
  <c r="B821" i="7"/>
  <c r="D821" i="7" s="1"/>
  <c r="C820" i="7"/>
  <c r="B820" i="7"/>
  <c r="D820" i="7" s="1"/>
  <c r="C819" i="7"/>
  <c r="B819" i="7"/>
  <c r="D819" i="7" s="1"/>
  <c r="C818" i="7"/>
  <c r="B818" i="7"/>
  <c r="D818" i="7" s="1"/>
  <c r="C817" i="7"/>
  <c r="B817" i="7"/>
  <c r="D817" i="7" s="1"/>
  <c r="C816" i="7"/>
  <c r="B816" i="7"/>
  <c r="D816" i="7" s="1"/>
  <c r="C815" i="7"/>
  <c r="B815" i="7"/>
  <c r="D815" i="7" s="1"/>
  <c r="C814" i="7"/>
  <c r="B814" i="7"/>
  <c r="D814" i="7" s="1"/>
  <c r="C813" i="7"/>
  <c r="B813" i="7"/>
  <c r="D813" i="7" s="1"/>
  <c r="C812" i="7"/>
  <c r="B812" i="7"/>
  <c r="D812" i="7" s="1"/>
  <c r="C811" i="7"/>
  <c r="B811" i="7"/>
  <c r="D811" i="7" s="1"/>
  <c r="C810" i="7"/>
  <c r="B810" i="7"/>
  <c r="D810" i="7" s="1"/>
  <c r="C809" i="7"/>
  <c r="B809" i="7"/>
  <c r="D809" i="7" s="1"/>
  <c r="C808" i="7"/>
  <c r="B808" i="7"/>
  <c r="D808" i="7" s="1"/>
  <c r="C807" i="7"/>
  <c r="B807" i="7"/>
  <c r="D807" i="7" s="1"/>
  <c r="C806" i="7"/>
  <c r="B806" i="7"/>
  <c r="D806" i="7" s="1"/>
  <c r="C805" i="7"/>
  <c r="B805" i="7"/>
  <c r="D805" i="7" s="1"/>
  <c r="C804" i="7"/>
  <c r="B804" i="7"/>
  <c r="D804" i="7" s="1"/>
  <c r="C803" i="7"/>
  <c r="B803" i="7"/>
  <c r="D803" i="7" s="1"/>
  <c r="C802" i="7"/>
  <c r="B802" i="7"/>
  <c r="D802" i="7" s="1"/>
  <c r="C801" i="7"/>
  <c r="B801" i="7"/>
  <c r="D801" i="7" s="1"/>
  <c r="C800" i="7"/>
  <c r="B800" i="7"/>
  <c r="D800" i="7" s="1"/>
  <c r="C799" i="7"/>
  <c r="B799" i="7"/>
  <c r="D799" i="7" s="1"/>
  <c r="C798" i="7"/>
  <c r="B798" i="7"/>
  <c r="D798" i="7" s="1"/>
  <c r="C797" i="7"/>
  <c r="B797" i="7"/>
  <c r="D797" i="7" s="1"/>
  <c r="C796" i="7"/>
  <c r="B796" i="7"/>
  <c r="D796" i="7" s="1"/>
  <c r="C795" i="7"/>
  <c r="B795" i="7"/>
  <c r="D795" i="7" s="1"/>
  <c r="C794" i="7"/>
  <c r="B794" i="7"/>
  <c r="D794" i="7" s="1"/>
  <c r="C793" i="7"/>
  <c r="B793" i="7"/>
  <c r="D793" i="7" s="1"/>
  <c r="C792" i="7"/>
  <c r="B792" i="7"/>
  <c r="D792" i="7" s="1"/>
  <c r="C791" i="7"/>
  <c r="B791" i="7"/>
  <c r="D791" i="7" s="1"/>
  <c r="C790" i="7"/>
  <c r="B790" i="7"/>
  <c r="D790" i="7" s="1"/>
  <c r="C789" i="7"/>
  <c r="B789" i="7"/>
  <c r="D789" i="7" s="1"/>
  <c r="C788" i="7"/>
  <c r="B788" i="7"/>
  <c r="D788" i="7" s="1"/>
  <c r="C787" i="7"/>
  <c r="B787" i="7"/>
  <c r="D787" i="7" s="1"/>
  <c r="C786" i="7"/>
  <c r="B786" i="7"/>
  <c r="D786" i="7" s="1"/>
  <c r="C785" i="7"/>
  <c r="B785" i="7"/>
  <c r="D785" i="7" s="1"/>
  <c r="C784" i="7"/>
  <c r="B784" i="7"/>
  <c r="D784" i="7" s="1"/>
  <c r="C783" i="7"/>
  <c r="B783" i="7"/>
  <c r="D783" i="7" s="1"/>
  <c r="C782" i="7"/>
  <c r="B782" i="7"/>
  <c r="D782" i="7" s="1"/>
  <c r="C781" i="7"/>
  <c r="B781" i="7"/>
  <c r="D781" i="7" s="1"/>
  <c r="C780" i="7"/>
  <c r="B780" i="7"/>
  <c r="D780" i="7" s="1"/>
  <c r="C779" i="7"/>
  <c r="B779" i="7"/>
  <c r="D779" i="7" s="1"/>
  <c r="C778" i="7"/>
  <c r="B778" i="7"/>
  <c r="D778" i="7" s="1"/>
  <c r="C777" i="7"/>
  <c r="B777" i="7"/>
  <c r="D777" i="7" s="1"/>
  <c r="C776" i="7"/>
  <c r="B776" i="7"/>
  <c r="D776" i="7" s="1"/>
  <c r="C775" i="7"/>
  <c r="B775" i="7"/>
  <c r="D775" i="7" s="1"/>
  <c r="C774" i="7"/>
  <c r="B774" i="7"/>
  <c r="D774" i="7" s="1"/>
  <c r="C773" i="7"/>
  <c r="B773" i="7"/>
  <c r="D773" i="7" s="1"/>
  <c r="C772" i="7"/>
  <c r="B772" i="7"/>
  <c r="D772" i="7" s="1"/>
  <c r="C771" i="7"/>
  <c r="B771" i="7"/>
  <c r="D771" i="7" s="1"/>
  <c r="C770" i="7"/>
  <c r="B770" i="7"/>
  <c r="D770" i="7" s="1"/>
  <c r="C769" i="7"/>
  <c r="B769" i="7"/>
  <c r="D769" i="7" s="1"/>
  <c r="C768" i="7"/>
  <c r="B768" i="7"/>
  <c r="D768" i="7" s="1"/>
  <c r="C767" i="7"/>
  <c r="B767" i="7"/>
  <c r="D767" i="7" s="1"/>
  <c r="C766" i="7"/>
  <c r="B766" i="7"/>
  <c r="D766" i="7" s="1"/>
  <c r="C765" i="7"/>
  <c r="B765" i="7"/>
  <c r="D765" i="7" s="1"/>
  <c r="C764" i="7"/>
  <c r="B764" i="7"/>
  <c r="D764" i="7" s="1"/>
  <c r="C763" i="7"/>
  <c r="B763" i="7"/>
  <c r="D763" i="7" s="1"/>
  <c r="C762" i="7"/>
  <c r="B762" i="7"/>
  <c r="D762" i="7" s="1"/>
  <c r="C761" i="7"/>
  <c r="B761" i="7"/>
  <c r="D761" i="7" s="1"/>
  <c r="C760" i="7"/>
  <c r="B760" i="7"/>
  <c r="D760" i="7" s="1"/>
  <c r="C759" i="7"/>
  <c r="B759" i="7"/>
  <c r="D759" i="7" s="1"/>
  <c r="C758" i="7"/>
  <c r="B758" i="7"/>
  <c r="D758" i="7" s="1"/>
  <c r="C757" i="7"/>
  <c r="B757" i="7"/>
  <c r="D757" i="7" s="1"/>
  <c r="C756" i="7"/>
  <c r="B756" i="7"/>
  <c r="D756" i="7" s="1"/>
  <c r="C755" i="7"/>
  <c r="B755" i="7"/>
  <c r="D755" i="7" s="1"/>
  <c r="C754" i="7"/>
  <c r="B754" i="7"/>
  <c r="D754" i="7" s="1"/>
  <c r="C753" i="7"/>
  <c r="B753" i="7"/>
  <c r="D753" i="7" s="1"/>
  <c r="C752" i="7"/>
  <c r="B752" i="7"/>
  <c r="D752" i="7" s="1"/>
  <c r="C751" i="7"/>
  <c r="B751" i="7"/>
  <c r="D751" i="7" s="1"/>
  <c r="C750" i="7"/>
  <c r="B750" i="7"/>
  <c r="D750" i="7" s="1"/>
  <c r="C749" i="7"/>
  <c r="B749" i="7"/>
  <c r="D749" i="7" s="1"/>
  <c r="C748" i="7"/>
  <c r="B748" i="7"/>
  <c r="D748" i="7" s="1"/>
  <c r="C747" i="7"/>
  <c r="B747" i="7"/>
  <c r="D747" i="7" s="1"/>
  <c r="C746" i="7"/>
  <c r="B746" i="7"/>
  <c r="D746" i="7" s="1"/>
  <c r="C745" i="7"/>
  <c r="B745" i="7"/>
  <c r="D745" i="7" s="1"/>
  <c r="C744" i="7"/>
  <c r="B744" i="7"/>
  <c r="D744" i="7" s="1"/>
  <c r="C743" i="7"/>
  <c r="B743" i="7"/>
  <c r="D743" i="7" s="1"/>
  <c r="C742" i="7"/>
  <c r="B742" i="7"/>
  <c r="D742" i="7" s="1"/>
  <c r="C741" i="7"/>
  <c r="B741" i="7"/>
  <c r="D741" i="7" s="1"/>
  <c r="C740" i="7"/>
  <c r="B740" i="7"/>
  <c r="D740" i="7" s="1"/>
  <c r="C739" i="7"/>
  <c r="B739" i="7"/>
  <c r="D739" i="7" s="1"/>
  <c r="C738" i="7"/>
  <c r="B738" i="7"/>
  <c r="D738" i="7" s="1"/>
  <c r="C737" i="7"/>
  <c r="B737" i="7"/>
  <c r="D737" i="7" s="1"/>
  <c r="C736" i="7"/>
  <c r="B736" i="7"/>
  <c r="D736" i="7" s="1"/>
  <c r="C735" i="7"/>
  <c r="B735" i="7"/>
  <c r="D735" i="7" s="1"/>
  <c r="C734" i="7"/>
  <c r="B734" i="7"/>
  <c r="D734" i="7" s="1"/>
  <c r="C733" i="7"/>
  <c r="B733" i="7"/>
  <c r="D733" i="7" s="1"/>
  <c r="C732" i="7"/>
  <c r="B732" i="7"/>
  <c r="D732" i="7" s="1"/>
  <c r="C731" i="7"/>
  <c r="B731" i="7"/>
  <c r="D731" i="7" s="1"/>
  <c r="C730" i="7"/>
  <c r="B730" i="7"/>
  <c r="D730" i="7" s="1"/>
  <c r="C729" i="7"/>
  <c r="B729" i="7"/>
  <c r="D729" i="7" s="1"/>
  <c r="C728" i="7"/>
  <c r="B728" i="7"/>
  <c r="D728" i="7" s="1"/>
  <c r="C727" i="7"/>
  <c r="B727" i="7"/>
  <c r="D727" i="7" s="1"/>
  <c r="C726" i="7"/>
  <c r="B726" i="7"/>
  <c r="D726" i="7" s="1"/>
  <c r="C725" i="7"/>
  <c r="B725" i="7"/>
  <c r="D725" i="7" s="1"/>
  <c r="C724" i="7"/>
  <c r="B724" i="7"/>
  <c r="D724" i="7" s="1"/>
  <c r="C723" i="7"/>
  <c r="B723" i="7"/>
  <c r="D723" i="7" s="1"/>
  <c r="C722" i="7"/>
  <c r="B722" i="7"/>
  <c r="D722" i="7" s="1"/>
  <c r="C721" i="7"/>
  <c r="B721" i="7"/>
  <c r="D721" i="7" s="1"/>
  <c r="C720" i="7"/>
  <c r="B720" i="7"/>
  <c r="D720" i="7" s="1"/>
  <c r="C719" i="7"/>
  <c r="B719" i="7"/>
  <c r="D719" i="7" s="1"/>
  <c r="C718" i="7"/>
  <c r="B718" i="7"/>
  <c r="D718" i="7" s="1"/>
  <c r="C717" i="7"/>
  <c r="B717" i="7"/>
  <c r="D717" i="7" s="1"/>
  <c r="C716" i="7"/>
  <c r="B716" i="7"/>
  <c r="D716" i="7" s="1"/>
  <c r="C715" i="7"/>
  <c r="B715" i="7"/>
  <c r="D715" i="7" s="1"/>
  <c r="C714" i="7"/>
  <c r="B714" i="7"/>
  <c r="D714" i="7" s="1"/>
  <c r="C713" i="7"/>
  <c r="B713" i="7"/>
  <c r="D713" i="7" s="1"/>
  <c r="C712" i="7"/>
  <c r="B712" i="7"/>
  <c r="D712" i="7" s="1"/>
  <c r="C711" i="7"/>
  <c r="B711" i="7"/>
  <c r="D711" i="7" s="1"/>
  <c r="C710" i="7"/>
  <c r="B710" i="7"/>
  <c r="D710" i="7" s="1"/>
  <c r="C709" i="7"/>
  <c r="B709" i="7"/>
  <c r="D709" i="7" s="1"/>
  <c r="C708" i="7"/>
  <c r="B708" i="7"/>
  <c r="D708" i="7" s="1"/>
  <c r="C707" i="7"/>
  <c r="B707" i="7"/>
  <c r="D707" i="7" s="1"/>
  <c r="C706" i="7"/>
  <c r="B706" i="7"/>
  <c r="D706" i="7" s="1"/>
  <c r="C705" i="7"/>
  <c r="B705" i="7"/>
  <c r="D705" i="7" s="1"/>
  <c r="C704" i="7"/>
  <c r="B704" i="7"/>
  <c r="D704" i="7" s="1"/>
  <c r="C703" i="7"/>
  <c r="B703" i="7"/>
  <c r="D703" i="7" s="1"/>
  <c r="C702" i="7"/>
  <c r="B702" i="7"/>
  <c r="D702" i="7" s="1"/>
  <c r="C701" i="7"/>
  <c r="B701" i="7"/>
  <c r="D701" i="7" s="1"/>
  <c r="C700" i="7"/>
  <c r="B700" i="7"/>
  <c r="D700" i="7" s="1"/>
  <c r="C699" i="7"/>
  <c r="B699" i="7"/>
  <c r="D699" i="7" s="1"/>
  <c r="C698" i="7"/>
  <c r="B698" i="7"/>
  <c r="D698" i="7" s="1"/>
  <c r="C697" i="7"/>
  <c r="B697" i="7"/>
  <c r="D697" i="7" s="1"/>
  <c r="C696" i="7"/>
  <c r="B696" i="7"/>
  <c r="D696" i="7" s="1"/>
  <c r="C695" i="7"/>
  <c r="B695" i="7"/>
  <c r="D695" i="7" s="1"/>
  <c r="C694" i="7"/>
  <c r="B694" i="7"/>
  <c r="D694" i="7" s="1"/>
  <c r="C693" i="7"/>
  <c r="B693" i="7"/>
  <c r="D693" i="7" s="1"/>
  <c r="C692" i="7"/>
  <c r="B692" i="7"/>
  <c r="D692" i="7" s="1"/>
  <c r="C691" i="7"/>
  <c r="B691" i="7"/>
  <c r="D691" i="7" s="1"/>
  <c r="C690" i="7"/>
  <c r="B690" i="7"/>
  <c r="D690" i="7" s="1"/>
  <c r="C689" i="7"/>
  <c r="B689" i="7"/>
  <c r="D689" i="7" s="1"/>
  <c r="C688" i="7"/>
  <c r="B688" i="7"/>
  <c r="D688" i="7" s="1"/>
  <c r="C687" i="7"/>
  <c r="B687" i="7"/>
  <c r="D687" i="7" s="1"/>
  <c r="C686" i="7"/>
  <c r="B686" i="7"/>
  <c r="D686" i="7" s="1"/>
  <c r="C685" i="7"/>
  <c r="B685" i="7"/>
  <c r="D685" i="7" s="1"/>
  <c r="C684" i="7"/>
  <c r="B684" i="7"/>
  <c r="D684" i="7" s="1"/>
  <c r="C683" i="7"/>
  <c r="B683" i="7"/>
  <c r="D683" i="7" s="1"/>
  <c r="C682" i="7"/>
  <c r="B682" i="7"/>
  <c r="D682" i="7" s="1"/>
  <c r="C681" i="7"/>
  <c r="B681" i="7"/>
  <c r="D681" i="7" s="1"/>
  <c r="C680" i="7"/>
  <c r="B680" i="7"/>
  <c r="D680" i="7" s="1"/>
  <c r="C679" i="7"/>
  <c r="B679" i="7"/>
  <c r="D679" i="7" s="1"/>
  <c r="C678" i="7"/>
  <c r="B678" i="7"/>
  <c r="D678" i="7" s="1"/>
  <c r="C677" i="7"/>
  <c r="B677" i="7"/>
  <c r="D677" i="7" s="1"/>
  <c r="C676" i="7"/>
  <c r="B676" i="7"/>
  <c r="D676" i="7" s="1"/>
  <c r="C675" i="7"/>
  <c r="B675" i="7"/>
  <c r="D675" i="7" s="1"/>
  <c r="C674" i="7"/>
  <c r="B674" i="7"/>
  <c r="D674" i="7" s="1"/>
  <c r="C673" i="7"/>
  <c r="B673" i="7"/>
  <c r="D673" i="7" s="1"/>
  <c r="C672" i="7"/>
  <c r="B672" i="7"/>
  <c r="D672" i="7" s="1"/>
  <c r="C671" i="7"/>
  <c r="B671" i="7"/>
  <c r="D671" i="7" s="1"/>
  <c r="C670" i="7"/>
  <c r="B670" i="7"/>
  <c r="D670" i="7" s="1"/>
  <c r="C669" i="7"/>
  <c r="B669" i="7"/>
  <c r="D669" i="7" s="1"/>
  <c r="C668" i="7"/>
  <c r="B668" i="7"/>
  <c r="D668" i="7" s="1"/>
  <c r="C667" i="7"/>
  <c r="B667" i="7"/>
  <c r="D667" i="7" s="1"/>
  <c r="C666" i="7"/>
  <c r="B666" i="7"/>
  <c r="D666" i="7" s="1"/>
  <c r="C665" i="7"/>
  <c r="B665" i="7"/>
  <c r="D665" i="7" s="1"/>
  <c r="C664" i="7"/>
  <c r="B664" i="7"/>
  <c r="D664" i="7" s="1"/>
  <c r="C663" i="7"/>
  <c r="B663" i="7"/>
  <c r="D663" i="7" s="1"/>
  <c r="C662" i="7"/>
  <c r="B662" i="7"/>
  <c r="D662" i="7" s="1"/>
  <c r="C661" i="7"/>
  <c r="B661" i="7"/>
  <c r="D661" i="7" s="1"/>
  <c r="C660" i="7"/>
  <c r="B660" i="7"/>
  <c r="D660" i="7" s="1"/>
  <c r="C659" i="7"/>
  <c r="B659" i="7"/>
  <c r="D659" i="7" s="1"/>
  <c r="C658" i="7"/>
  <c r="B658" i="7"/>
  <c r="D658" i="7" s="1"/>
  <c r="C657" i="7"/>
  <c r="B657" i="7"/>
  <c r="D657" i="7" s="1"/>
  <c r="C656" i="7"/>
  <c r="B656" i="7"/>
  <c r="D656" i="7" s="1"/>
  <c r="C655" i="7"/>
  <c r="B655" i="7"/>
  <c r="D655" i="7" s="1"/>
  <c r="C654" i="7"/>
  <c r="B654" i="7"/>
  <c r="D654" i="7" s="1"/>
  <c r="C653" i="7"/>
  <c r="B653" i="7"/>
  <c r="D653" i="7" s="1"/>
  <c r="C652" i="7"/>
  <c r="B652" i="7"/>
  <c r="D652" i="7" s="1"/>
  <c r="C651" i="7"/>
  <c r="B651" i="7"/>
  <c r="D651" i="7" s="1"/>
  <c r="C650" i="7"/>
  <c r="B650" i="7"/>
  <c r="D650" i="7" s="1"/>
  <c r="C649" i="7"/>
  <c r="B649" i="7"/>
  <c r="D649" i="7" s="1"/>
  <c r="C648" i="7"/>
  <c r="B648" i="7"/>
  <c r="D648" i="7" s="1"/>
  <c r="C647" i="7"/>
  <c r="B647" i="7"/>
  <c r="D647" i="7" s="1"/>
  <c r="C646" i="7"/>
  <c r="B646" i="7"/>
  <c r="D646" i="7" s="1"/>
  <c r="C645" i="7"/>
  <c r="B645" i="7"/>
  <c r="D645" i="7" s="1"/>
  <c r="C644" i="7"/>
  <c r="B644" i="7"/>
  <c r="D644" i="7" s="1"/>
  <c r="C643" i="7"/>
  <c r="B643" i="7"/>
  <c r="D643" i="7" s="1"/>
  <c r="C642" i="7"/>
  <c r="B642" i="7"/>
  <c r="D642" i="7" s="1"/>
  <c r="C641" i="7"/>
  <c r="B641" i="7"/>
  <c r="D641" i="7" s="1"/>
  <c r="C640" i="7"/>
  <c r="B640" i="7"/>
  <c r="D640" i="7" s="1"/>
  <c r="C639" i="7"/>
  <c r="B639" i="7"/>
  <c r="D639" i="7" s="1"/>
  <c r="C638" i="7"/>
  <c r="B638" i="7"/>
  <c r="D638" i="7" s="1"/>
  <c r="C637" i="7"/>
  <c r="B637" i="7"/>
  <c r="D637" i="7" s="1"/>
  <c r="C636" i="7"/>
  <c r="B636" i="7"/>
  <c r="D636" i="7" s="1"/>
  <c r="C635" i="7"/>
  <c r="B635" i="7"/>
  <c r="D635" i="7" s="1"/>
  <c r="C634" i="7"/>
  <c r="B634" i="7"/>
  <c r="D634" i="7" s="1"/>
  <c r="C633" i="7"/>
  <c r="B633" i="7"/>
  <c r="D633" i="7" s="1"/>
  <c r="C632" i="7"/>
  <c r="B632" i="7"/>
  <c r="D632" i="7" s="1"/>
  <c r="C631" i="7"/>
  <c r="B631" i="7"/>
  <c r="D631" i="7" s="1"/>
  <c r="C630" i="7"/>
  <c r="B630" i="7"/>
  <c r="D630" i="7" s="1"/>
  <c r="C629" i="7"/>
  <c r="B629" i="7"/>
  <c r="D629" i="7" s="1"/>
  <c r="C628" i="7"/>
  <c r="B628" i="7"/>
  <c r="D628" i="7" s="1"/>
  <c r="C627" i="7"/>
  <c r="B627" i="7"/>
  <c r="D627" i="7" s="1"/>
  <c r="C626" i="7"/>
  <c r="B626" i="7"/>
  <c r="D626" i="7" s="1"/>
  <c r="C625" i="7"/>
  <c r="B625" i="7"/>
  <c r="D625" i="7" s="1"/>
  <c r="C624" i="7"/>
  <c r="B624" i="7"/>
  <c r="D624" i="7" s="1"/>
  <c r="C623" i="7"/>
  <c r="B623" i="7"/>
  <c r="D623" i="7" s="1"/>
  <c r="C622" i="7"/>
  <c r="B622" i="7"/>
  <c r="D622" i="7" s="1"/>
  <c r="C621" i="7"/>
  <c r="B621" i="7"/>
  <c r="D621" i="7" s="1"/>
  <c r="C620" i="7"/>
  <c r="B620" i="7"/>
  <c r="D620" i="7" s="1"/>
  <c r="C619" i="7"/>
  <c r="B619" i="7"/>
  <c r="D619" i="7" s="1"/>
  <c r="C618" i="7"/>
  <c r="B618" i="7"/>
  <c r="D618" i="7" s="1"/>
  <c r="C617" i="7"/>
  <c r="B617" i="7"/>
  <c r="D617" i="7" s="1"/>
  <c r="C616" i="7"/>
  <c r="B616" i="7"/>
  <c r="D616" i="7" s="1"/>
  <c r="C615" i="7"/>
  <c r="B615" i="7"/>
  <c r="D615" i="7" s="1"/>
  <c r="C614" i="7"/>
  <c r="B614" i="7"/>
  <c r="D614" i="7" s="1"/>
  <c r="C613" i="7"/>
  <c r="B613" i="7"/>
  <c r="D613" i="7" s="1"/>
  <c r="C612" i="7"/>
  <c r="B612" i="7"/>
  <c r="D612" i="7" s="1"/>
  <c r="C611" i="7"/>
  <c r="B611" i="7"/>
  <c r="D611" i="7" s="1"/>
  <c r="C610" i="7"/>
  <c r="B610" i="7"/>
  <c r="D610" i="7" s="1"/>
  <c r="C609" i="7"/>
  <c r="B609" i="7"/>
  <c r="D609" i="7" s="1"/>
  <c r="C608" i="7"/>
  <c r="B608" i="7"/>
  <c r="D608" i="7" s="1"/>
  <c r="C607" i="7"/>
  <c r="B607" i="7"/>
  <c r="D607" i="7" s="1"/>
  <c r="C606" i="7"/>
  <c r="B606" i="7"/>
  <c r="D606" i="7" s="1"/>
  <c r="C605" i="7"/>
  <c r="B605" i="7"/>
  <c r="D605" i="7" s="1"/>
  <c r="C604" i="7"/>
  <c r="B604" i="7"/>
  <c r="D604" i="7" s="1"/>
  <c r="C603" i="7"/>
  <c r="B603" i="7"/>
  <c r="D603" i="7" s="1"/>
  <c r="C602" i="7"/>
  <c r="B602" i="7"/>
  <c r="D602" i="7" s="1"/>
  <c r="C601" i="7"/>
  <c r="B601" i="7"/>
  <c r="D601" i="7" s="1"/>
  <c r="C600" i="7"/>
  <c r="B600" i="7"/>
  <c r="D600" i="7" s="1"/>
  <c r="C599" i="7"/>
  <c r="B599" i="7"/>
  <c r="D599" i="7" s="1"/>
  <c r="C598" i="7"/>
  <c r="B598" i="7"/>
  <c r="D598" i="7" s="1"/>
  <c r="C597" i="7"/>
  <c r="B597" i="7"/>
  <c r="D597" i="7" s="1"/>
  <c r="C596" i="7"/>
  <c r="B596" i="7"/>
  <c r="D596" i="7" s="1"/>
  <c r="C595" i="7"/>
  <c r="B595" i="7"/>
  <c r="D595" i="7" s="1"/>
  <c r="C594" i="7"/>
  <c r="B594" i="7"/>
  <c r="D594" i="7" s="1"/>
  <c r="C593" i="7"/>
  <c r="B593" i="7"/>
  <c r="D593" i="7" s="1"/>
  <c r="C592" i="7"/>
  <c r="B592" i="7"/>
  <c r="D592" i="7" s="1"/>
  <c r="C591" i="7"/>
  <c r="B591" i="7"/>
  <c r="D591" i="7" s="1"/>
  <c r="C590" i="7"/>
  <c r="B590" i="7"/>
  <c r="D590" i="7" s="1"/>
  <c r="C589" i="7"/>
  <c r="B589" i="7"/>
  <c r="D589" i="7" s="1"/>
  <c r="C588" i="7"/>
  <c r="B588" i="7"/>
  <c r="D588" i="7" s="1"/>
  <c r="C587" i="7"/>
  <c r="B587" i="7"/>
  <c r="D587" i="7" s="1"/>
  <c r="C586" i="7"/>
  <c r="B586" i="7"/>
  <c r="D586" i="7" s="1"/>
  <c r="C585" i="7"/>
  <c r="B585" i="7"/>
  <c r="D585" i="7" s="1"/>
  <c r="C584" i="7"/>
  <c r="B584" i="7"/>
  <c r="D584" i="7" s="1"/>
  <c r="C583" i="7"/>
  <c r="B583" i="7"/>
  <c r="D583" i="7" s="1"/>
  <c r="C582" i="7"/>
  <c r="B582" i="7"/>
  <c r="D582" i="7" s="1"/>
  <c r="C581" i="7"/>
  <c r="B581" i="7"/>
  <c r="D581" i="7" s="1"/>
  <c r="C580" i="7"/>
  <c r="B580" i="7"/>
  <c r="D580" i="7" s="1"/>
  <c r="C579" i="7"/>
  <c r="B579" i="7"/>
  <c r="D579" i="7" s="1"/>
  <c r="C578" i="7"/>
  <c r="B578" i="7"/>
  <c r="D578" i="7" s="1"/>
  <c r="C577" i="7"/>
  <c r="B577" i="7"/>
  <c r="D577" i="7" s="1"/>
  <c r="C576" i="7"/>
  <c r="B576" i="7"/>
  <c r="D576" i="7" s="1"/>
  <c r="C575" i="7"/>
  <c r="B575" i="7"/>
  <c r="D575" i="7" s="1"/>
  <c r="C574" i="7"/>
  <c r="B574" i="7"/>
  <c r="D574" i="7" s="1"/>
  <c r="C573" i="7"/>
  <c r="B573" i="7"/>
  <c r="D573" i="7" s="1"/>
  <c r="C572" i="7"/>
  <c r="B572" i="7"/>
  <c r="D572" i="7" s="1"/>
  <c r="C571" i="7"/>
  <c r="B571" i="7"/>
  <c r="D571" i="7" s="1"/>
  <c r="C570" i="7"/>
  <c r="B570" i="7"/>
  <c r="D570" i="7" s="1"/>
  <c r="C569" i="7"/>
  <c r="B569" i="7"/>
  <c r="D569" i="7" s="1"/>
  <c r="C568" i="7"/>
  <c r="B568" i="7"/>
  <c r="D568" i="7" s="1"/>
  <c r="C567" i="7"/>
  <c r="B567" i="7"/>
  <c r="D567" i="7" s="1"/>
  <c r="C566" i="7"/>
  <c r="B566" i="7"/>
  <c r="D566" i="7" s="1"/>
  <c r="C565" i="7"/>
  <c r="B565" i="7"/>
  <c r="D565" i="7" s="1"/>
  <c r="C564" i="7"/>
  <c r="B564" i="7"/>
  <c r="D564" i="7" s="1"/>
  <c r="C563" i="7"/>
  <c r="B563" i="7"/>
  <c r="D563" i="7" s="1"/>
  <c r="C562" i="7"/>
  <c r="B562" i="7"/>
  <c r="D562" i="7" s="1"/>
  <c r="C561" i="7"/>
  <c r="B561" i="7"/>
  <c r="D561" i="7" s="1"/>
  <c r="C560" i="7"/>
  <c r="B560" i="7"/>
  <c r="D560" i="7" s="1"/>
  <c r="C559" i="7"/>
  <c r="B559" i="7"/>
  <c r="D559" i="7" s="1"/>
  <c r="C558" i="7"/>
  <c r="B558" i="7"/>
  <c r="D558" i="7" s="1"/>
  <c r="C557" i="7"/>
  <c r="B557" i="7"/>
  <c r="D557" i="7" s="1"/>
  <c r="C556" i="7"/>
  <c r="B556" i="7"/>
  <c r="D556" i="7" s="1"/>
  <c r="C555" i="7"/>
  <c r="B555" i="7"/>
  <c r="D555" i="7" s="1"/>
  <c r="C554" i="7"/>
  <c r="B554" i="7"/>
  <c r="D554" i="7" s="1"/>
  <c r="C553" i="7"/>
  <c r="B553" i="7"/>
  <c r="D553" i="7" s="1"/>
  <c r="C552" i="7"/>
  <c r="B552" i="7"/>
  <c r="D552" i="7" s="1"/>
  <c r="C551" i="7"/>
  <c r="B551" i="7"/>
  <c r="D551" i="7" s="1"/>
  <c r="C550" i="7"/>
  <c r="B550" i="7"/>
  <c r="D550" i="7" s="1"/>
  <c r="C549" i="7"/>
  <c r="B549" i="7"/>
  <c r="D549" i="7" s="1"/>
  <c r="C548" i="7"/>
  <c r="B548" i="7"/>
  <c r="D548" i="7" s="1"/>
  <c r="C547" i="7"/>
  <c r="B547" i="7"/>
  <c r="D547" i="7" s="1"/>
  <c r="C546" i="7"/>
  <c r="B546" i="7"/>
  <c r="D546" i="7" s="1"/>
  <c r="C545" i="7"/>
  <c r="B545" i="7"/>
  <c r="D545" i="7" s="1"/>
  <c r="C544" i="7"/>
  <c r="B544" i="7"/>
  <c r="D544" i="7" s="1"/>
  <c r="C543" i="7"/>
  <c r="B543" i="7"/>
  <c r="D543" i="7" s="1"/>
  <c r="C542" i="7"/>
  <c r="B542" i="7"/>
  <c r="D542" i="7" s="1"/>
  <c r="C541" i="7"/>
  <c r="B541" i="7"/>
  <c r="D541" i="7" s="1"/>
  <c r="C540" i="7"/>
  <c r="B540" i="7"/>
  <c r="D540" i="7" s="1"/>
  <c r="C539" i="7"/>
  <c r="B539" i="7"/>
  <c r="D539" i="7" s="1"/>
  <c r="C538" i="7"/>
  <c r="B538" i="7"/>
  <c r="D538" i="7" s="1"/>
  <c r="C537" i="7"/>
  <c r="B537" i="7"/>
  <c r="D537" i="7" s="1"/>
  <c r="C536" i="7"/>
  <c r="B536" i="7"/>
  <c r="D536" i="7" s="1"/>
  <c r="C535" i="7"/>
  <c r="B535" i="7"/>
  <c r="D535" i="7" s="1"/>
  <c r="C534" i="7"/>
  <c r="B534" i="7"/>
  <c r="D534" i="7" s="1"/>
  <c r="C533" i="7"/>
  <c r="B533" i="7"/>
  <c r="D533" i="7" s="1"/>
  <c r="C532" i="7"/>
  <c r="B532" i="7"/>
  <c r="D532" i="7" s="1"/>
  <c r="C531" i="7"/>
  <c r="B531" i="7"/>
  <c r="D531" i="7" s="1"/>
  <c r="C530" i="7"/>
  <c r="B530" i="7"/>
  <c r="D530" i="7" s="1"/>
  <c r="C529" i="7"/>
  <c r="B529" i="7"/>
  <c r="D529" i="7" s="1"/>
  <c r="C528" i="7"/>
  <c r="B528" i="7"/>
  <c r="D528" i="7" s="1"/>
  <c r="C527" i="7"/>
  <c r="B527" i="7"/>
  <c r="D527" i="7" s="1"/>
  <c r="C526" i="7"/>
  <c r="B526" i="7"/>
  <c r="D526" i="7" s="1"/>
  <c r="C525" i="7"/>
  <c r="B525" i="7"/>
  <c r="D525" i="7" s="1"/>
  <c r="C524" i="7"/>
  <c r="B524" i="7"/>
  <c r="D524" i="7" s="1"/>
  <c r="C523" i="7"/>
  <c r="B523" i="7"/>
  <c r="D523" i="7" s="1"/>
  <c r="C522" i="7"/>
  <c r="B522" i="7"/>
  <c r="D522" i="7" s="1"/>
  <c r="C521" i="7"/>
  <c r="B521" i="7"/>
  <c r="D521" i="7" s="1"/>
  <c r="C520" i="7"/>
  <c r="B520" i="7"/>
  <c r="D520" i="7" s="1"/>
  <c r="C519" i="7"/>
  <c r="B519" i="7"/>
  <c r="D519" i="7" s="1"/>
  <c r="C518" i="7"/>
  <c r="B518" i="7"/>
  <c r="D518" i="7" s="1"/>
  <c r="C517" i="7"/>
  <c r="B517" i="7"/>
  <c r="D517" i="7" s="1"/>
  <c r="C516" i="7"/>
  <c r="B516" i="7"/>
  <c r="D516" i="7" s="1"/>
  <c r="C515" i="7"/>
  <c r="B515" i="7"/>
  <c r="D515" i="7" s="1"/>
  <c r="C514" i="7"/>
  <c r="B514" i="7"/>
  <c r="D514" i="7" s="1"/>
  <c r="C513" i="7"/>
  <c r="B513" i="7"/>
  <c r="D513" i="7" s="1"/>
  <c r="C512" i="7"/>
  <c r="B512" i="7"/>
  <c r="D512" i="7" s="1"/>
  <c r="C511" i="7"/>
  <c r="B511" i="7"/>
  <c r="D511" i="7" s="1"/>
  <c r="C510" i="7"/>
  <c r="B510" i="7"/>
  <c r="D510" i="7" s="1"/>
  <c r="C509" i="7"/>
  <c r="B509" i="7"/>
  <c r="D509" i="7" s="1"/>
  <c r="C508" i="7"/>
  <c r="B508" i="7"/>
  <c r="D508" i="7" s="1"/>
  <c r="C507" i="7"/>
  <c r="B507" i="7"/>
  <c r="D507" i="7" s="1"/>
  <c r="C506" i="7"/>
  <c r="B506" i="7"/>
  <c r="D506" i="7" s="1"/>
  <c r="C505" i="7"/>
  <c r="B505" i="7"/>
  <c r="D505" i="7" s="1"/>
  <c r="C504" i="7"/>
  <c r="B504" i="7"/>
  <c r="D504" i="7" s="1"/>
  <c r="C503" i="7"/>
  <c r="B503" i="7"/>
  <c r="D503" i="7" s="1"/>
  <c r="C502" i="7"/>
  <c r="B502" i="7"/>
  <c r="D502" i="7" s="1"/>
  <c r="C501" i="7"/>
  <c r="B501" i="7"/>
  <c r="D501" i="7" s="1"/>
  <c r="C500" i="7"/>
  <c r="B500" i="7"/>
  <c r="D500" i="7" s="1"/>
  <c r="C499" i="7"/>
  <c r="B499" i="7"/>
  <c r="D499" i="7" s="1"/>
  <c r="C498" i="7"/>
  <c r="B498" i="7"/>
  <c r="D498" i="7" s="1"/>
  <c r="C497" i="7"/>
  <c r="B497" i="7"/>
  <c r="D497" i="7" s="1"/>
  <c r="C496" i="7"/>
  <c r="B496" i="7"/>
  <c r="D496" i="7" s="1"/>
  <c r="C495" i="7"/>
  <c r="B495" i="7"/>
  <c r="D495" i="7" s="1"/>
  <c r="C494" i="7"/>
  <c r="B494" i="7"/>
  <c r="D494" i="7" s="1"/>
  <c r="C493" i="7"/>
  <c r="B493" i="7"/>
  <c r="D493" i="7" s="1"/>
  <c r="C492" i="7"/>
  <c r="B492" i="7"/>
  <c r="D492" i="7" s="1"/>
  <c r="C491" i="7"/>
  <c r="B491" i="7"/>
  <c r="D491" i="7" s="1"/>
  <c r="C490" i="7"/>
  <c r="B490" i="7"/>
  <c r="D490" i="7" s="1"/>
  <c r="C489" i="7"/>
  <c r="B489" i="7"/>
  <c r="D489" i="7" s="1"/>
  <c r="C488" i="7"/>
  <c r="B488" i="7"/>
  <c r="D488" i="7" s="1"/>
  <c r="C487" i="7"/>
  <c r="B487" i="7"/>
  <c r="D487" i="7" s="1"/>
  <c r="C486" i="7"/>
  <c r="B486" i="7"/>
  <c r="D486" i="7" s="1"/>
  <c r="C485" i="7"/>
  <c r="B485" i="7"/>
  <c r="D485" i="7" s="1"/>
  <c r="C484" i="7"/>
  <c r="B484" i="7"/>
  <c r="D484" i="7" s="1"/>
  <c r="C483" i="7"/>
  <c r="B483" i="7"/>
  <c r="D483" i="7" s="1"/>
  <c r="C482" i="7"/>
  <c r="B482" i="7"/>
  <c r="D482" i="7" s="1"/>
  <c r="C481" i="7"/>
  <c r="B481" i="7"/>
  <c r="D481" i="7" s="1"/>
  <c r="C480" i="7"/>
  <c r="B480" i="7"/>
  <c r="D480" i="7" s="1"/>
  <c r="C479" i="7"/>
  <c r="B479" i="7"/>
  <c r="D479" i="7" s="1"/>
  <c r="C478" i="7"/>
  <c r="B478" i="7"/>
  <c r="D478" i="7" s="1"/>
  <c r="C477" i="7"/>
  <c r="B477" i="7"/>
  <c r="D477" i="7" s="1"/>
  <c r="C476" i="7"/>
  <c r="B476" i="7"/>
  <c r="D476" i="7" s="1"/>
  <c r="C475" i="7"/>
  <c r="B475" i="7"/>
  <c r="D475" i="7" s="1"/>
  <c r="C474" i="7"/>
  <c r="B474" i="7"/>
  <c r="D474" i="7" s="1"/>
  <c r="C473" i="7"/>
  <c r="B473" i="7"/>
  <c r="D473" i="7" s="1"/>
  <c r="C472" i="7"/>
  <c r="B472" i="7"/>
  <c r="D472" i="7" s="1"/>
  <c r="C471" i="7"/>
  <c r="B471" i="7"/>
  <c r="D471" i="7" s="1"/>
  <c r="C470" i="7"/>
  <c r="B470" i="7"/>
  <c r="D470" i="7" s="1"/>
  <c r="C469" i="7"/>
  <c r="B469" i="7"/>
  <c r="D469" i="7" s="1"/>
  <c r="C468" i="7"/>
  <c r="B468" i="7"/>
  <c r="D468" i="7" s="1"/>
  <c r="C467" i="7"/>
  <c r="B467" i="7"/>
  <c r="D467" i="7" s="1"/>
  <c r="C466" i="7"/>
  <c r="B466" i="7"/>
  <c r="D466" i="7" s="1"/>
  <c r="C465" i="7"/>
  <c r="B465" i="7"/>
  <c r="D465" i="7" s="1"/>
  <c r="C464" i="7"/>
  <c r="B464" i="7"/>
  <c r="D464" i="7" s="1"/>
  <c r="C463" i="7"/>
  <c r="B463" i="7"/>
  <c r="D463" i="7" s="1"/>
  <c r="C462" i="7"/>
  <c r="B462" i="7"/>
  <c r="D462" i="7" s="1"/>
  <c r="C461" i="7"/>
  <c r="B461" i="7"/>
  <c r="D461" i="7" s="1"/>
  <c r="C460" i="7"/>
  <c r="B460" i="7"/>
  <c r="D460" i="7" s="1"/>
  <c r="C459" i="7"/>
  <c r="B459" i="7"/>
  <c r="D459" i="7" s="1"/>
  <c r="C458" i="7"/>
  <c r="B458" i="7"/>
  <c r="D458" i="7" s="1"/>
  <c r="C457" i="7"/>
  <c r="B457" i="7"/>
  <c r="D457" i="7" s="1"/>
  <c r="C456" i="7"/>
  <c r="B456" i="7"/>
  <c r="D456" i="7" s="1"/>
  <c r="C455" i="7"/>
  <c r="B455" i="7"/>
  <c r="D455" i="7" s="1"/>
  <c r="C454" i="7"/>
  <c r="B454" i="7"/>
  <c r="D454" i="7" s="1"/>
  <c r="C453" i="7"/>
  <c r="B453" i="7"/>
  <c r="D453" i="7" s="1"/>
  <c r="C452" i="7"/>
  <c r="B452" i="7"/>
  <c r="D452" i="7" s="1"/>
  <c r="C451" i="7"/>
  <c r="B451" i="7"/>
  <c r="D451" i="7" s="1"/>
  <c r="C450" i="7"/>
  <c r="B450" i="7"/>
  <c r="D450" i="7" s="1"/>
  <c r="C449" i="7"/>
  <c r="B449" i="7"/>
  <c r="D449" i="7" s="1"/>
  <c r="C448" i="7"/>
  <c r="B448" i="7"/>
  <c r="D448" i="7" s="1"/>
  <c r="C447" i="7"/>
  <c r="B447" i="7"/>
  <c r="D447" i="7" s="1"/>
  <c r="C446" i="7"/>
  <c r="B446" i="7"/>
  <c r="D446" i="7" s="1"/>
  <c r="C445" i="7"/>
  <c r="B445" i="7"/>
  <c r="D445" i="7" s="1"/>
  <c r="C444" i="7"/>
  <c r="B444" i="7"/>
  <c r="D444" i="7" s="1"/>
  <c r="C443" i="7"/>
  <c r="B443" i="7"/>
  <c r="D443" i="7" s="1"/>
  <c r="C442" i="7"/>
  <c r="B442" i="7"/>
  <c r="D442" i="7" s="1"/>
  <c r="C441" i="7"/>
  <c r="B441" i="7"/>
  <c r="D441" i="7" s="1"/>
  <c r="C440" i="7"/>
  <c r="B440" i="7"/>
  <c r="D440" i="7" s="1"/>
  <c r="C439" i="7"/>
  <c r="B439" i="7"/>
  <c r="D439" i="7" s="1"/>
  <c r="C438" i="7"/>
  <c r="B438" i="7"/>
  <c r="D438" i="7" s="1"/>
  <c r="C437" i="7"/>
  <c r="B437" i="7"/>
  <c r="D437" i="7" s="1"/>
  <c r="C436" i="7"/>
  <c r="B436" i="7"/>
  <c r="D436" i="7" s="1"/>
  <c r="C435" i="7"/>
  <c r="B435" i="7"/>
  <c r="D435" i="7" s="1"/>
  <c r="C434" i="7"/>
  <c r="B434" i="7"/>
  <c r="D434" i="7" s="1"/>
  <c r="C433" i="7"/>
  <c r="B433" i="7"/>
  <c r="D433" i="7" s="1"/>
  <c r="C432" i="7"/>
  <c r="B432" i="7"/>
  <c r="D432" i="7" s="1"/>
  <c r="C431" i="7"/>
  <c r="B431" i="7"/>
  <c r="D431" i="7" s="1"/>
  <c r="C430" i="7"/>
  <c r="B430" i="7"/>
  <c r="D430" i="7" s="1"/>
  <c r="C429" i="7"/>
  <c r="B429" i="7"/>
  <c r="D429" i="7" s="1"/>
  <c r="C428" i="7"/>
  <c r="B428" i="7"/>
  <c r="D428" i="7" s="1"/>
  <c r="C427" i="7"/>
  <c r="B427" i="7"/>
  <c r="D427" i="7" s="1"/>
  <c r="C426" i="7"/>
  <c r="B426" i="7"/>
  <c r="D426" i="7" s="1"/>
  <c r="C425" i="7"/>
  <c r="B425" i="7"/>
  <c r="D425" i="7" s="1"/>
  <c r="C424" i="7"/>
  <c r="B424" i="7"/>
  <c r="D424" i="7" s="1"/>
  <c r="C423" i="7"/>
  <c r="B423" i="7"/>
  <c r="D423" i="7" s="1"/>
  <c r="C422" i="7"/>
  <c r="B422" i="7"/>
  <c r="D422" i="7" s="1"/>
  <c r="C421" i="7"/>
  <c r="B421" i="7"/>
  <c r="D421" i="7" s="1"/>
  <c r="C420" i="7"/>
  <c r="B420" i="7"/>
  <c r="D420" i="7" s="1"/>
  <c r="C419" i="7"/>
  <c r="B419" i="7"/>
  <c r="D419" i="7" s="1"/>
  <c r="C418" i="7"/>
  <c r="B418" i="7"/>
  <c r="D418" i="7" s="1"/>
  <c r="C417" i="7"/>
  <c r="B417" i="7"/>
  <c r="D417" i="7" s="1"/>
  <c r="C416" i="7"/>
  <c r="B416" i="7"/>
  <c r="D416" i="7" s="1"/>
  <c r="C415" i="7"/>
  <c r="B415" i="7"/>
  <c r="D415" i="7" s="1"/>
  <c r="C414" i="7"/>
  <c r="B414" i="7"/>
  <c r="D414" i="7" s="1"/>
  <c r="C413" i="7"/>
  <c r="B413" i="7"/>
  <c r="D413" i="7" s="1"/>
  <c r="C412" i="7"/>
  <c r="B412" i="7"/>
  <c r="D412" i="7" s="1"/>
  <c r="C411" i="7"/>
  <c r="B411" i="7"/>
  <c r="D411" i="7" s="1"/>
  <c r="C410" i="7"/>
  <c r="B410" i="7"/>
  <c r="D410" i="7" s="1"/>
  <c r="C409" i="7"/>
  <c r="B409" i="7"/>
  <c r="D409" i="7" s="1"/>
  <c r="C408" i="7"/>
  <c r="B408" i="7"/>
  <c r="D408" i="7" s="1"/>
  <c r="C407" i="7"/>
  <c r="B407" i="7"/>
  <c r="D407" i="7" s="1"/>
  <c r="C406" i="7"/>
  <c r="B406" i="7"/>
  <c r="D406" i="7" s="1"/>
  <c r="C405" i="7"/>
  <c r="B405" i="7"/>
  <c r="D405" i="7" s="1"/>
  <c r="C404" i="7"/>
  <c r="B404" i="7"/>
  <c r="D404" i="7" s="1"/>
  <c r="C403" i="7"/>
  <c r="B403" i="7"/>
  <c r="D403" i="7" s="1"/>
  <c r="C402" i="7"/>
  <c r="B402" i="7"/>
  <c r="D402" i="7" s="1"/>
  <c r="C401" i="7"/>
  <c r="B401" i="7"/>
  <c r="D401" i="7" s="1"/>
  <c r="C400" i="7"/>
  <c r="B400" i="7"/>
  <c r="D400" i="7" s="1"/>
  <c r="C399" i="7"/>
  <c r="B399" i="7"/>
  <c r="D399" i="7" s="1"/>
  <c r="C398" i="7"/>
  <c r="B398" i="7"/>
  <c r="D398" i="7" s="1"/>
  <c r="C397" i="7"/>
  <c r="B397" i="7"/>
  <c r="D397" i="7" s="1"/>
  <c r="C396" i="7"/>
  <c r="B396" i="7"/>
  <c r="D396" i="7" s="1"/>
  <c r="C395" i="7"/>
  <c r="B395" i="7"/>
  <c r="D395" i="7" s="1"/>
  <c r="C394" i="7"/>
  <c r="B394" i="7"/>
  <c r="D394" i="7" s="1"/>
  <c r="C393" i="7"/>
  <c r="B393" i="7"/>
  <c r="D393" i="7" s="1"/>
  <c r="C392" i="7"/>
  <c r="B392" i="7"/>
  <c r="D392" i="7" s="1"/>
  <c r="C391" i="7"/>
  <c r="B391" i="7"/>
  <c r="D391" i="7" s="1"/>
  <c r="C390" i="7"/>
  <c r="B390" i="7"/>
  <c r="D390" i="7" s="1"/>
  <c r="C389" i="7"/>
  <c r="B389" i="7"/>
  <c r="D389" i="7" s="1"/>
  <c r="C388" i="7"/>
  <c r="B388" i="7"/>
  <c r="D388" i="7" s="1"/>
  <c r="C387" i="7"/>
  <c r="B387" i="7"/>
  <c r="D387" i="7" s="1"/>
  <c r="C386" i="7"/>
  <c r="B386" i="7"/>
  <c r="D386" i="7" s="1"/>
  <c r="C385" i="7"/>
  <c r="B385" i="7"/>
  <c r="D385" i="7" s="1"/>
  <c r="C384" i="7"/>
  <c r="B384" i="7"/>
  <c r="D384" i="7" s="1"/>
  <c r="C383" i="7"/>
  <c r="B383" i="7"/>
  <c r="D383" i="7" s="1"/>
  <c r="C382" i="7"/>
  <c r="B382" i="7"/>
  <c r="D382" i="7" s="1"/>
  <c r="C381" i="7"/>
  <c r="B381" i="7"/>
  <c r="D381" i="7" s="1"/>
  <c r="C380" i="7"/>
  <c r="B380" i="7"/>
  <c r="D380" i="7" s="1"/>
  <c r="C379" i="7"/>
  <c r="B379" i="7"/>
  <c r="D379" i="7" s="1"/>
  <c r="C378" i="7"/>
  <c r="B378" i="7"/>
  <c r="D378" i="7" s="1"/>
  <c r="C377" i="7"/>
  <c r="B377" i="7"/>
  <c r="D377" i="7" s="1"/>
  <c r="C376" i="7"/>
  <c r="B376" i="7"/>
  <c r="D376" i="7" s="1"/>
  <c r="C375" i="7"/>
  <c r="B375" i="7"/>
  <c r="D375" i="7" s="1"/>
  <c r="C374" i="7"/>
  <c r="B374" i="7"/>
  <c r="D374" i="7" s="1"/>
  <c r="C373" i="7"/>
  <c r="B373" i="7"/>
  <c r="D373" i="7" s="1"/>
  <c r="C372" i="7"/>
  <c r="B372" i="7"/>
  <c r="D372" i="7" s="1"/>
  <c r="C371" i="7"/>
  <c r="B371" i="7"/>
  <c r="D371" i="7" s="1"/>
  <c r="C370" i="7"/>
  <c r="B370" i="7"/>
  <c r="D370" i="7" s="1"/>
  <c r="C369" i="7"/>
  <c r="B369" i="7"/>
  <c r="D369" i="7" s="1"/>
  <c r="C368" i="7"/>
  <c r="B368" i="7"/>
  <c r="D368" i="7" s="1"/>
  <c r="C367" i="7"/>
  <c r="B367" i="7"/>
  <c r="D367" i="7" s="1"/>
  <c r="C366" i="7"/>
  <c r="B366" i="7"/>
  <c r="D366" i="7" s="1"/>
  <c r="C365" i="7"/>
  <c r="B365" i="7"/>
  <c r="D365" i="7" s="1"/>
  <c r="C364" i="7"/>
  <c r="B364" i="7"/>
  <c r="D364" i="7" s="1"/>
  <c r="C363" i="7"/>
  <c r="B363" i="7"/>
  <c r="D363" i="7" s="1"/>
  <c r="C362" i="7"/>
  <c r="B362" i="7"/>
  <c r="D362" i="7" s="1"/>
  <c r="C361" i="7"/>
  <c r="B361" i="7"/>
  <c r="D361" i="7" s="1"/>
  <c r="C360" i="7"/>
  <c r="B360" i="7"/>
  <c r="D360" i="7" s="1"/>
  <c r="C359" i="7"/>
  <c r="B359" i="7"/>
  <c r="D359" i="7" s="1"/>
  <c r="C358" i="7"/>
  <c r="B358" i="7"/>
  <c r="D358" i="7" s="1"/>
  <c r="C357" i="7"/>
  <c r="B357" i="7"/>
  <c r="D357" i="7" s="1"/>
  <c r="C356" i="7"/>
  <c r="B356" i="7"/>
  <c r="D356" i="7" s="1"/>
  <c r="C355" i="7"/>
  <c r="B355" i="7"/>
  <c r="D355" i="7" s="1"/>
  <c r="C354" i="7"/>
  <c r="B354" i="7"/>
  <c r="D354" i="7" s="1"/>
  <c r="C353" i="7"/>
  <c r="B353" i="7"/>
  <c r="D353" i="7" s="1"/>
  <c r="C352" i="7"/>
  <c r="B352" i="7"/>
  <c r="D352" i="7" s="1"/>
  <c r="C351" i="7"/>
  <c r="B351" i="7"/>
  <c r="D351" i="7" s="1"/>
  <c r="C350" i="7"/>
  <c r="B350" i="7"/>
  <c r="D350" i="7" s="1"/>
  <c r="C349" i="7"/>
  <c r="B349" i="7"/>
  <c r="D349" i="7" s="1"/>
  <c r="C348" i="7"/>
  <c r="B348" i="7"/>
  <c r="D348" i="7" s="1"/>
  <c r="C347" i="7"/>
  <c r="B347" i="7"/>
  <c r="D347" i="7" s="1"/>
  <c r="C346" i="7"/>
  <c r="B346" i="7"/>
  <c r="D346" i="7" s="1"/>
  <c r="C345" i="7"/>
  <c r="B345" i="7"/>
  <c r="D345" i="7" s="1"/>
  <c r="C344" i="7"/>
  <c r="B344" i="7"/>
  <c r="D344" i="7" s="1"/>
  <c r="C343" i="7"/>
  <c r="B343" i="7"/>
  <c r="D343" i="7" s="1"/>
  <c r="C342" i="7"/>
  <c r="B342" i="7"/>
  <c r="D342" i="7" s="1"/>
  <c r="C341" i="7"/>
  <c r="B341" i="7"/>
  <c r="D341" i="7" s="1"/>
  <c r="C340" i="7"/>
  <c r="B340" i="7"/>
  <c r="D340" i="7" s="1"/>
  <c r="C339" i="7"/>
  <c r="B339" i="7"/>
  <c r="D339" i="7" s="1"/>
  <c r="C338" i="7"/>
  <c r="B338" i="7"/>
  <c r="D338" i="7" s="1"/>
  <c r="C337" i="7"/>
  <c r="B337" i="7"/>
  <c r="D337" i="7" s="1"/>
  <c r="C336" i="7"/>
  <c r="B336" i="7"/>
  <c r="D336" i="7" s="1"/>
  <c r="C335" i="7"/>
  <c r="B335" i="7"/>
  <c r="D335" i="7" s="1"/>
  <c r="C334" i="7"/>
  <c r="B334" i="7"/>
  <c r="D334" i="7" s="1"/>
  <c r="C333" i="7"/>
  <c r="B333" i="7"/>
  <c r="D333" i="7" s="1"/>
  <c r="C332" i="7"/>
  <c r="B332" i="7"/>
  <c r="D332" i="7" s="1"/>
  <c r="C331" i="7"/>
  <c r="B331" i="7"/>
  <c r="D331" i="7" s="1"/>
  <c r="C330" i="7"/>
  <c r="B330" i="7"/>
  <c r="D330" i="7" s="1"/>
  <c r="C329" i="7"/>
  <c r="B329" i="7"/>
  <c r="D329" i="7" s="1"/>
  <c r="C328" i="7"/>
  <c r="B328" i="7"/>
  <c r="D328" i="7" s="1"/>
  <c r="C327" i="7"/>
  <c r="B327" i="7"/>
  <c r="D327" i="7" s="1"/>
  <c r="C326" i="7"/>
  <c r="B326" i="7"/>
  <c r="D326" i="7" s="1"/>
  <c r="C325" i="7"/>
  <c r="B325" i="7"/>
  <c r="D325" i="7" s="1"/>
  <c r="C324" i="7"/>
  <c r="B324" i="7"/>
  <c r="D324" i="7" s="1"/>
  <c r="C323" i="7"/>
  <c r="B323" i="7"/>
  <c r="D323" i="7" s="1"/>
  <c r="C322" i="7"/>
  <c r="B322" i="7"/>
  <c r="D322" i="7" s="1"/>
  <c r="C321" i="7"/>
  <c r="B321" i="7"/>
  <c r="D321" i="7" s="1"/>
  <c r="C320" i="7"/>
  <c r="B320" i="7"/>
  <c r="D320" i="7" s="1"/>
  <c r="C319" i="7"/>
  <c r="B319" i="7"/>
  <c r="D319" i="7" s="1"/>
  <c r="C318" i="7"/>
  <c r="B318" i="7"/>
  <c r="D318" i="7" s="1"/>
  <c r="C317" i="7"/>
  <c r="B317" i="7"/>
  <c r="D317" i="7" s="1"/>
  <c r="C316" i="7"/>
  <c r="B316" i="7"/>
  <c r="D316" i="7" s="1"/>
  <c r="C315" i="7"/>
  <c r="B315" i="7"/>
  <c r="D315" i="7" s="1"/>
  <c r="C314" i="7"/>
  <c r="B314" i="7"/>
  <c r="D314" i="7" s="1"/>
  <c r="C313" i="7"/>
  <c r="B313" i="7"/>
  <c r="D313" i="7" s="1"/>
  <c r="C312" i="7"/>
  <c r="B312" i="7"/>
  <c r="D312" i="7" s="1"/>
  <c r="C311" i="7"/>
  <c r="B311" i="7"/>
  <c r="D311" i="7" s="1"/>
  <c r="C310" i="7"/>
  <c r="B310" i="7"/>
  <c r="D310" i="7" s="1"/>
  <c r="C309" i="7"/>
  <c r="B309" i="7"/>
  <c r="D309" i="7" s="1"/>
  <c r="C308" i="7"/>
  <c r="B308" i="7"/>
  <c r="D308" i="7" s="1"/>
  <c r="C307" i="7"/>
  <c r="B307" i="7"/>
  <c r="D307" i="7" s="1"/>
  <c r="C306" i="7"/>
  <c r="B306" i="7"/>
  <c r="D306" i="7" s="1"/>
  <c r="C305" i="7"/>
  <c r="B305" i="7"/>
  <c r="D305" i="7" s="1"/>
  <c r="C304" i="7"/>
  <c r="B304" i="7"/>
  <c r="D304" i="7" s="1"/>
  <c r="C303" i="7"/>
  <c r="B303" i="7"/>
  <c r="D303" i="7" s="1"/>
  <c r="C302" i="7"/>
  <c r="B302" i="7"/>
  <c r="D302" i="7" s="1"/>
  <c r="C301" i="7"/>
  <c r="B301" i="7"/>
  <c r="D301" i="7" s="1"/>
  <c r="C300" i="7"/>
  <c r="B300" i="7"/>
  <c r="D300" i="7" s="1"/>
  <c r="C299" i="7"/>
  <c r="B299" i="7"/>
  <c r="D299" i="7" s="1"/>
  <c r="C298" i="7"/>
  <c r="B298" i="7"/>
  <c r="D298" i="7" s="1"/>
  <c r="C297" i="7"/>
  <c r="B297" i="7"/>
  <c r="D297" i="7" s="1"/>
  <c r="C296" i="7"/>
  <c r="B296" i="7"/>
  <c r="D296" i="7" s="1"/>
  <c r="C295" i="7"/>
  <c r="B295" i="7"/>
  <c r="D295" i="7" s="1"/>
  <c r="C294" i="7"/>
  <c r="B294" i="7"/>
  <c r="D294" i="7" s="1"/>
  <c r="C293" i="7"/>
  <c r="B293" i="7"/>
  <c r="D293" i="7" s="1"/>
  <c r="C292" i="7"/>
  <c r="B292" i="7"/>
  <c r="D292" i="7" s="1"/>
  <c r="C291" i="7"/>
  <c r="B291" i="7"/>
  <c r="D291" i="7" s="1"/>
  <c r="C290" i="7"/>
  <c r="B290" i="7"/>
  <c r="D290" i="7" s="1"/>
  <c r="C289" i="7"/>
  <c r="B289" i="7"/>
  <c r="D289" i="7" s="1"/>
  <c r="C288" i="7"/>
  <c r="B288" i="7"/>
  <c r="D288" i="7" s="1"/>
  <c r="C287" i="7"/>
  <c r="B287" i="7"/>
  <c r="D287" i="7" s="1"/>
  <c r="C286" i="7"/>
  <c r="B286" i="7"/>
  <c r="D286" i="7" s="1"/>
  <c r="C285" i="7"/>
  <c r="B285" i="7"/>
  <c r="D285" i="7" s="1"/>
  <c r="C284" i="7"/>
  <c r="B284" i="7"/>
  <c r="D284" i="7" s="1"/>
  <c r="C283" i="7"/>
  <c r="B283" i="7"/>
  <c r="D283" i="7" s="1"/>
  <c r="C282" i="7"/>
  <c r="B282" i="7"/>
  <c r="D282" i="7" s="1"/>
  <c r="C281" i="7"/>
  <c r="B281" i="7"/>
  <c r="D281" i="7" s="1"/>
  <c r="C280" i="7"/>
  <c r="B280" i="7"/>
  <c r="D280" i="7" s="1"/>
  <c r="C279" i="7"/>
  <c r="B279" i="7"/>
  <c r="D279" i="7" s="1"/>
  <c r="C278" i="7"/>
  <c r="B278" i="7"/>
  <c r="D278" i="7" s="1"/>
  <c r="C277" i="7"/>
  <c r="B277" i="7"/>
  <c r="D277" i="7" s="1"/>
  <c r="C276" i="7"/>
  <c r="B276" i="7"/>
  <c r="D276" i="7" s="1"/>
  <c r="C275" i="7"/>
  <c r="B275" i="7"/>
  <c r="D275" i="7" s="1"/>
  <c r="C274" i="7"/>
  <c r="B274" i="7"/>
  <c r="D274" i="7" s="1"/>
  <c r="C273" i="7"/>
  <c r="B273" i="7"/>
  <c r="D273" i="7" s="1"/>
  <c r="C272" i="7"/>
  <c r="B272" i="7"/>
  <c r="D272" i="7" s="1"/>
  <c r="C271" i="7"/>
  <c r="B271" i="7"/>
  <c r="D271" i="7" s="1"/>
  <c r="C270" i="7"/>
  <c r="B270" i="7"/>
  <c r="D270" i="7" s="1"/>
  <c r="C269" i="7"/>
  <c r="B269" i="7"/>
  <c r="D269" i="7" s="1"/>
  <c r="C268" i="7"/>
  <c r="B268" i="7"/>
  <c r="D268" i="7" s="1"/>
  <c r="C267" i="7"/>
  <c r="B267" i="7"/>
  <c r="D267" i="7" s="1"/>
  <c r="C266" i="7"/>
  <c r="B266" i="7"/>
  <c r="D266" i="7" s="1"/>
  <c r="C265" i="7"/>
  <c r="B265" i="7"/>
  <c r="D265" i="7" s="1"/>
  <c r="C264" i="7"/>
  <c r="B264" i="7"/>
  <c r="D264" i="7" s="1"/>
  <c r="C263" i="7"/>
  <c r="B263" i="7"/>
  <c r="D263" i="7" s="1"/>
  <c r="C262" i="7"/>
  <c r="B262" i="7"/>
  <c r="D262" i="7" s="1"/>
  <c r="C261" i="7"/>
  <c r="B261" i="7"/>
  <c r="D261" i="7" s="1"/>
  <c r="C260" i="7"/>
  <c r="B260" i="7"/>
  <c r="D260" i="7" s="1"/>
  <c r="C259" i="7"/>
  <c r="B259" i="7"/>
  <c r="D259" i="7" s="1"/>
  <c r="C258" i="7"/>
  <c r="B258" i="7"/>
  <c r="D258" i="7" s="1"/>
  <c r="C257" i="7"/>
  <c r="B257" i="7"/>
  <c r="D257" i="7" s="1"/>
  <c r="C256" i="7"/>
  <c r="B256" i="7"/>
  <c r="D256" i="7" s="1"/>
  <c r="C255" i="7"/>
  <c r="B255" i="7"/>
  <c r="D255" i="7" s="1"/>
  <c r="C254" i="7"/>
  <c r="B254" i="7"/>
  <c r="D254" i="7" s="1"/>
  <c r="C253" i="7"/>
  <c r="B253" i="7"/>
  <c r="D253" i="7" s="1"/>
  <c r="C252" i="7"/>
  <c r="B252" i="7"/>
  <c r="D252" i="7" s="1"/>
  <c r="C251" i="7"/>
  <c r="B251" i="7"/>
  <c r="D251" i="7" s="1"/>
  <c r="C250" i="7"/>
  <c r="B250" i="7"/>
  <c r="D250" i="7" s="1"/>
  <c r="C249" i="7"/>
  <c r="B249" i="7"/>
  <c r="D249" i="7" s="1"/>
  <c r="C248" i="7"/>
  <c r="B248" i="7"/>
  <c r="D248" i="7" s="1"/>
  <c r="C247" i="7"/>
  <c r="B247" i="7"/>
  <c r="D247" i="7" s="1"/>
  <c r="C246" i="7"/>
  <c r="B246" i="7"/>
  <c r="D246" i="7" s="1"/>
  <c r="C245" i="7"/>
  <c r="B245" i="7"/>
  <c r="D245" i="7" s="1"/>
  <c r="C244" i="7"/>
  <c r="B244" i="7"/>
  <c r="D244" i="7" s="1"/>
  <c r="C243" i="7"/>
  <c r="B243" i="7"/>
  <c r="D243" i="7" s="1"/>
  <c r="C242" i="7"/>
  <c r="B242" i="7"/>
  <c r="D242" i="7" s="1"/>
  <c r="C241" i="7"/>
  <c r="B241" i="7"/>
  <c r="D241" i="7" s="1"/>
  <c r="C240" i="7"/>
  <c r="B240" i="7"/>
  <c r="D240" i="7" s="1"/>
  <c r="C239" i="7"/>
  <c r="B239" i="7"/>
  <c r="D239" i="7" s="1"/>
  <c r="C238" i="7"/>
  <c r="B238" i="7"/>
  <c r="D238" i="7" s="1"/>
  <c r="C237" i="7"/>
  <c r="B237" i="7"/>
  <c r="D237" i="7" s="1"/>
  <c r="C236" i="7"/>
  <c r="B236" i="7"/>
  <c r="D236" i="7" s="1"/>
  <c r="C235" i="7"/>
  <c r="B235" i="7"/>
  <c r="D235" i="7" s="1"/>
  <c r="C234" i="7"/>
  <c r="B234" i="7"/>
  <c r="D234" i="7" s="1"/>
  <c r="C233" i="7"/>
  <c r="B233" i="7"/>
  <c r="D233" i="7" s="1"/>
  <c r="C232" i="7"/>
  <c r="B232" i="7"/>
  <c r="D232" i="7" s="1"/>
  <c r="C231" i="7"/>
  <c r="B231" i="7"/>
  <c r="D231" i="7" s="1"/>
  <c r="C230" i="7"/>
  <c r="B230" i="7"/>
  <c r="D230" i="7" s="1"/>
  <c r="C229" i="7"/>
  <c r="B229" i="7"/>
  <c r="D229" i="7" s="1"/>
  <c r="C228" i="7"/>
  <c r="B228" i="7"/>
  <c r="D228" i="7" s="1"/>
  <c r="C227" i="7"/>
  <c r="B227" i="7"/>
  <c r="D227" i="7" s="1"/>
  <c r="C226" i="7"/>
  <c r="B226" i="7"/>
  <c r="D226" i="7" s="1"/>
  <c r="C225" i="7"/>
  <c r="B225" i="7"/>
  <c r="D225" i="7" s="1"/>
  <c r="C224" i="7"/>
  <c r="B224" i="7"/>
  <c r="D224" i="7" s="1"/>
  <c r="C223" i="7"/>
  <c r="B223" i="7"/>
  <c r="D223" i="7" s="1"/>
  <c r="C222" i="7"/>
  <c r="B222" i="7"/>
  <c r="D222" i="7" s="1"/>
  <c r="C221" i="7"/>
  <c r="B221" i="7"/>
  <c r="D221" i="7" s="1"/>
  <c r="C220" i="7"/>
  <c r="B220" i="7"/>
  <c r="D220" i="7" s="1"/>
  <c r="C219" i="7"/>
  <c r="B219" i="7"/>
  <c r="D219" i="7" s="1"/>
  <c r="C218" i="7"/>
  <c r="B218" i="7"/>
  <c r="D218" i="7" s="1"/>
  <c r="C217" i="7"/>
  <c r="B217" i="7"/>
  <c r="D217" i="7" s="1"/>
  <c r="C216" i="7"/>
  <c r="B216" i="7"/>
  <c r="D216" i="7" s="1"/>
  <c r="C215" i="7"/>
  <c r="B215" i="7"/>
  <c r="D215" i="7" s="1"/>
  <c r="C214" i="7"/>
  <c r="B214" i="7"/>
  <c r="D214" i="7" s="1"/>
  <c r="C213" i="7"/>
  <c r="B213" i="7"/>
  <c r="D213" i="7" s="1"/>
  <c r="C212" i="7"/>
  <c r="B212" i="7"/>
  <c r="D212" i="7" s="1"/>
  <c r="C211" i="7"/>
  <c r="B211" i="7"/>
  <c r="D211" i="7" s="1"/>
  <c r="C210" i="7"/>
  <c r="B210" i="7"/>
  <c r="D210" i="7" s="1"/>
  <c r="C209" i="7"/>
  <c r="B209" i="7"/>
  <c r="D209" i="7" s="1"/>
  <c r="C208" i="7"/>
  <c r="B208" i="7"/>
  <c r="D208" i="7" s="1"/>
  <c r="C207" i="7"/>
  <c r="B207" i="7"/>
  <c r="D207" i="7" s="1"/>
  <c r="C206" i="7"/>
  <c r="B206" i="7"/>
  <c r="D206" i="7" s="1"/>
  <c r="C205" i="7"/>
  <c r="B205" i="7"/>
  <c r="D205" i="7" s="1"/>
  <c r="C204" i="7"/>
  <c r="B204" i="7"/>
  <c r="D204" i="7" s="1"/>
  <c r="C203" i="7"/>
  <c r="B203" i="7"/>
  <c r="D203" i="7" s="1"/>
  <c r="C202" i="7"/>
  <c r="B202" i="7"/>
  <c r="D202" i="7" s="1"/>
  <c r="C201" i="7"/>
  <c r="B201" i="7"/>
  <c r="D201" i="7" s="1"/>
  <c r="C200" i="7"/>
  <c r="B200" i="7"/>
  <c r="D200" i="7" s="1"/>
  <c r="C199" i="7"/>
  <c r="B199" i="7"/>
  <c r="D199" i="7" s="1"/>
  <c r="C198" i="7"/>
  <c r="B198" i="7"/>
  <c r="D198" i="7" s="1"/>
  <c r="C197" i="7"/>
  <c r="B197" i="7"/>
  <c r="D197" i="7" s="1"/>
  <c r="C196" i="7"/>
  <c r="B196" i="7"/>
  <c r="D196" i="7" s="1"/>
  <c r="C195" i="7"/>
  <c r="B195" i="7"/>
  <c r="D195" i="7" s="1"/>
  <c r="C194" i="7"/>
  <c r="B194" i="7"/>
  <c r="D194" i="7" s="1"/>
  <c r="C193" i="7"/>
  <c r="B193" i="7"/>
  <c r="D193" i="7" s="1"/>
  <c r="C192" i="7"/>
  <c r="B192" i="7"/>
  <c r="D192" i="7" s="1"/>
  <c r="C191" i="7"/>
  <c r="B191" i="7"/>
  <c r="D191" i="7" s="1"/>
  <c r="C190" i="7"/>
  <c r="B190" i="7"/>
  <c r="D190" i="7" s="1"/>
  <c r="C189" i="7"/>
  <c r="B189" i="7"/>
  <c r="D189" i="7" s="1"/>
  <c r="C188" i="7"/>
  <c r="B188" i="7"/>
  <c r="D188" i="7" s="1"/>
  <c r="C187" i="7"/>
  <c r="B187" i="7"/>
  <c r="D187" i="7" s="1"/>
  <c r="C186" i="7"/>
  <c r="B186" i="7"/>
  <c r="D186" i="7" s="1"/>
  <c r="C185" i="7"/>
  <c r="B185" i="7"/>
  <c r="D185" i="7" s="1"/>
  <c r="C184" i="7"/>
  <c r="B184" i="7"/>
  <c r="D184" i="7" s="1"/>
  <c r="C183" i="7"/>
  <c r="B183" i="7"/>
  <c r="D183" i="7" s="1"/>
  <c r="C182" i="7"/>
  <c r="B182" i="7"/>
  <c r="D182" i="7" s="1"/>
  <c r="C181" i="7"/>
  <c r="B181" i="7"/>
  <c r="D181" i="7" s="1"/>
  <c r="C180" i="7"/>
  <c r="B180" i="7"/>
  <c r="D180" i="7" s="1"/>
  <c r="C179" i="7"/>
  <c r="B179" i="7"/>
  <c r="D179" i="7" s="1"/>
  <c r="C178" i="7"/>
  <c r="B178" i="7"/>
  <c r="D178" i="7" s="1"/>
  <c r="C177" i="7"/>
  <c r="B177" i="7"/>
  <c r="D177" i="7" s="1"/>
  <c r="C176" i="7"/>
  <c r="B176" i="7"/>
  <c r="D176" i="7" s="1"/>
  <c r="C175" i="7"/>
  <c r="B175" i="7"/>
  <c r="D175" i="7" s="1"/>
  <c r="C174" i="7"/>
  <c r="B174" i="7"/>
  <c r="D174" i="7" s="1"/>
  <c r="C173" i="7"/>
  <c r="B173" i="7"/>
  <c r="D173" i="7" s="1"/>
  <c r="C172" i="7"/>
  <c r="B172" i="7"/>
  <c r="D172" i="7" s="1"/>
  <c r="C171" i="7"/>
  <c r="B171" i="7"/>
  <c r="D171" i="7" s="1"/>
  <c r="C170" i="7"/>
  <c r="B170" i="7"/>
  <c r="D170" i="7" s="1"/>
  <c r="C169" i="7"/>
  <c r="B169" i="7"/>
  <c r="D169" i="7" s="1"/>
  <c r="C168" i="7"/>
  <c r="B168" i="7"/>
  <c r="D168" i="7" s="1"/>
  <c r="C167" i="7"/>
  <c r="B167" i="7"/>
  <c r="D167" i="7" s="1"/>
  <c r="C166" i="7"/>
  <c r="B166" i="7"/>
  <c r="D166" i="7" s="1"/>
  <c r="C165" i="7"/>
  <c r="B165" i="7"/>
  <c r="D165" i="7" s="1"/>
  <c r="C164" i="7"/>
  <c r="B164" i="7"/>
  <c r="D164" i="7" s="1"/>
  <c r="C163" i="7"/>
  <c r="B163" i="7"/>
  <c r="D163" i="7" s="1"/>
  <c r="C162" i="7"/>
  <c r="B162" i="7"/>
  <c r="D162" i="7" s="1"/>
  <c r="C161" i="7"/>
  <c r="B161" i="7"/>
  <c r="D161" i="7" s="1"/>
  <c r="C160" i="7"/>
  <c r="B160" i="7"/>
  <c r="D160" i="7" s="1"/>
  <c r="C159" i="7"/>
  <c r="B159" i="7"/>
  <c r="D159" i="7" s="1"/>
  <c r="C158" i="7"/>
  <c r="B158" i="7"/>
  <c r="D158" i="7" s="1"/>
  <c r="C157" i="7"/>
  <c r="B157" i="7"/>
  <c r="D157" i="7" s="1"/>
  <c r="C156" i="7"/>
  <c r="B156" i="7"/>
  <c r="D156" i="7" s="1"/>
  <c r="C155" i="7"/>
  <c r="B155" i="7"/>
  <c r="D155" i="7" s="1"/>
  <c r="C154" i="7"/>
  <c r="B154" i="7"/>
  <c r="D154" i="7" s="1"/>
  <c r="C153" i="7"/>
  <c r="B153" i="7"/>
  <c r="D153" i="7" s="1"/>
  <c r="C152" i="7"/>
  <c r="B152" i="7"/>
  <c r="D152" i="7" s="1"/>
  <c r="C151" i="7"/>
  <c r="B151" i="7"/>
  <c r="D151" i="7" s="1"/>
  <c r="C150" i="7"/>
  <c r="B150" i="7"/>
  <c r="D150" i="7" s="1"/>
  <c r="C149" i="7"/>
  <c r="B149" i="7"/>
  <c r="D149" i="7" s="1"/>
  <c r="C148" i="7"/>
  <c r="B148" i="7"/>
  <c r="D148" i="7" s="1"/>
  <c r="C147" i="7"/>
  <c r="B147" i="7"/>
  <c r="D147" i="7" s="1"/>
  <c r="C146" i="7"/>
  <c r="B146" i="7"/>
  <c r="D146" i="7" s="1"/>
  <c r="C145" i="7"/>
  <c r="B145" i="7"/>
  <c r="D145" i="7" s="1"/>
  <c r="C144" i="7"/>
  <c r="B144" i="7"/>
  <c r="D144" i="7" s="1"/>
  <c r="C143" i="7"/>
  <c r="B143" i="7"/>
  <c r="D143" i="7" s="1"/>
  <c r="C142" i="7"/>
  <c r="B142" i="7"/>
  <c r="D142" i="7" s="1"/>
  <c r="C141" i="7"/>
  <c r="B141" i="7"/>
  <c r="D141" i="7" s="1"/>
  <c r="C140" i="7"/>
  <c r="B140" i="7"/>
  <c r="D140" i="7" s="1"/>
  <c r="C139" i="7"/>
  <c r="B139" i="7"/>
  <c r="D139" i="7" s="1"/>
  <c r="C138" i="7"/>
  <c r="B138" i="7"/>
  <c r="D138" i="7" s="1"/>
  <c r="C137" i="7"/>
  <c r="B137" i="7"/>
  <c r="D137" i="7" s="1"/>
  <c r="C136" i="7"/>
  <c r="B136" i="7"/>
  <c r="D136" i="7" s="1"/>
  <c r="C135" i="7"/>
  <c r="B135" i="7"/>
  <c r="D135" i="7" s="1"/>
  <c r="C134" i="7"/>
  <c r="B134" i="7"/>
  <c r="D134" i="7" s="1"/>
  <c r="C133" i="7"/>
  <c r="B133" i="7"/>
  <c r="D133" i="7" s="1"/>
  <c r="C132" i="7"/>
  <c r="B132" i="7"/>
  <c r="D132" i="7" s="1"/>
  <c r="C131" i="7"/>
  <c r="B131" i="7"/>
  <c r="D131" i="7" s="1"/>
  <c r="C130" i="7"/>
  <c r="B130" i="7"/>
  <c r="D130" i="7" s="1"/>
  <c r="C129" i="7"/>
  <c r="B129" i="7"/>
  <c r="D129" i="7" s="1"/>
  <c r="C128" i="7"/>
  <c r="B128" i="7"/>
  <c r="D128" i="7" s="1"/>
  <c r="C127" i="7"/>
  <c r="B127" i="7"/>
  <c r="D127" i="7" s="1"/>
  <c r="C126" i="7"/>
  <c r="B126" i="7"/>
  <c r="D126" i="7" s="1"/>
  <c r="C125" i="7"/>
  <c r="B125" i="7"/>
  <c r="D125" i="7" s="1"/>
  <c r="C124" i="7"/>
  <c r="B124" i="7"/>
  <c r="D124" i="7" s="1"/>
  <c r="C123" i="7"/>
  <c r="B123" i="7"/>
  <c r="D123" i="7" s="1"/>
  <c r="C122" i="7"/>
  <c r="B122" i="7"/>
  <c r="D122" i="7" s="1"/>
  <c r="C121" i="7"/>
  <c r="B121" i="7"/>
  <c r="D121" i="7" s="1"/>
  <c r="C120" i="7"/>
  <c r="B120" i="7"/>
  <c r="D120" i="7" s="1"/>
  <c r="C119" i="7"/>
  <c r="B119" i="7"/>
  <c r="D119" i="7" s="1"/>
  <c r="C118" i="7"/>
  <c r="B118" i="7"/>
  <c r="D118" i="7" s="1"/>
  <c r="C117" i="7"/>
  <c r="B117" i="7"/>
  <c r="D117" i="7" s="1"/>
  <c r="C116" i="7"/>
  <c r="B116" i="7"/>
  <c r="D116" i="7" s="1"/>
  <c r="C115" i="7"/>
  <c r="B115" i="7"/>
  <c r="D115" i="7" s="1"/>
  <c r="C114" i="7"/>
  <c r="B114" i="7"/>
  <c r="D114" i="7" s="1"/>
  <c r="C113" i="7"/>
  <c r="B113" i="7"/>
  <c r="D113" i="7" s="1"/>
  <c r="C112" i="7"/>
  <c r="B112" i="7"/>
  <c r="D112" i="7" s="1"/>
  <c r="C111" i="7"/>
  <c r="B111" i="7"/>
  <c r="D111" i="7" s="1"/>
  <c r="C110" i="7"/>
  <c r="B110" i="7"/>
  <c r="D110" i="7" s="1"/>
  <c r="C109" i="7"/>
  <c r="B109" i="7"/>
  <c r="D109" i="7" s="1"/>
  <c r="C108" i="7"/>
  <c r="B108" i="7"/>
  <c r="D108" i="7" s="1"/>
  <c r="C107" i="7"/>
  <c r="B107" i="7"/>
  <c r="D107" i="7" s="1"/>
  <c r="C106" i="7"/>
  <c r="B106" i="7"/>
  <c r="D106" i="7" s="1"/>
  <c r="C105" i="7"/>
  <c r="B105" i="7"/>
  <c r="D105" i="7" s="1"/>
  <c r="C104" i="7"/>
  <c r="B104" i="7"/>
  <c r="D104" i="7" s="1"/>
  <c r="C103" i="7"/>
  <c r="B103" i="7"/>
  <c r="D103" i="7" s="1"/>
  <c r="C102" i="7"/>
  <c r="B102" i="7"/>
  <c r="D102" i="7" s="1"/>
  <c r="C101" i="7"/>
  <c r="B101" i="7"/>
  <c r="D101" i="7" s="1"/>
  <c r="C100" i="7"/>
  <c r="B100" i="7"/>
  <c r="D100" i="7" s="1"/>
  <c r="C99" i="7"/>
  <c r="B99" i="7"/>
  <c r="D99" i="7" s="1"/>
  <c r="C98" i="7"/>
  <c r="B98" i="7"/>
  <c r="D98" i="7" s="1"/>
  <c r="C97" i="7"/>
  <c r="B97" i="7"/>
  <c r="D97" i="7" s="1"/>
  <c r="C96" i="7"/>
  <c r="B96" i="7"/>
  <c r="D96" i="7" s="1"/>
  <c r="C95" i="7"/>
  <c r="B95" i="7"/>
  <c r="D95" i="7" s="1"/>
  <c r="C94" i="7"/>
  <c r="B94" i="7"/>
  <c r="D94" i="7" s="1"/>
  <c r="C93" i="7"/>
  <c r="B93" i="7"/>
  <c r="D93" i="7" s="1"/>
  <c r="C92" i="7"/>
  <c r="B92" i="7"/>
  <c r="D92" i="7" s="1"/>
  <c r="C91" i="7"/>
  <c r="B91" i="7"/>
  <c r="D91" i="7" s="1"/>
  <c r="C90" i="7"/>
  <c r="B90" i="7"/>
  <c r="D90" i="7" s="1"/>
  <c r="C89" i="7"/>
  <c r="B89" i="7"/>
  <c r="D89" i="7" s="1"/>
  <c r="C88" i="7"/>
  <c r="B88" i="7"/>
  <c r="D88" i="7" s="1"/>
  <c r="C87" i="7"/>
  <c r="B87" i="7"/>
  <c r="D87" i="7" s="1"/>
  <c r="C86" i="7"/>
  <c r="B86" i="7"/>
  <c r="D86" i="7" s="1"/>
  <c r="C85" i="7"/>
  <c r="B85" i="7"/>
  <c r="D85" i="7" s="1"/>
  <c r="C84" i="7"/>
  <c r="B84" i="7"/>
  <c r="D84" i="7" s="1"/>
  <c r="C83" i="7"/>
  <c r="B83" i="7"/>
  <c r="D83" i="7" s="1"/>
  <c r="C82" i="7"/>
  <c r="B82" i="7"/>
  <c r="D82" i="7" s="1"/>
  <c r="C81" i="7"/>
  <c r="B81" i="7"/>
  <c r="D81" i="7" s="1"/>
  <c r="C80" i="7"/>
  <c r="B80" i="7"/>
  <c r="D80" i="7" s="1"/>
  <c r="C79" i="7"/>
  <c r="B79" i="7"/>
  <c r="D79" i="7" s="1"/>
  <c r="C78" i="7"/>
  <c r="B78" i="7"/>
  <c r="D78" i="7" s="1"/>
  <c r="C77" i="7"/>
  <c r="B77" i="7"/>
  <c r="D77" i="7" s="1"/>
  <c r="C76" i="7"/>
  <c r="B76" i="7"/>
  <c r="D76" i="7" s="1"/>
  <c r="C75" i="7"/>
  <c r="B75" i="7"/>
  <c r="D75" i="7" s="1"/>
  <c r="C74" i="7"/>
  <c r="B74" i="7"/>
  <c r="D74" i="7" s="1"/>
  <c r="C73" i="7"/>
  <c r="B73" i="7"/>
  <c r="D73" i="7" s="1"/>
  <c r="C72" i="7"/>
  <c r="B72" i="7"/>
  <c r="D72" i="7" s="1"/>
  <c r="C71" i="7"/>
  <c r="B71" i="7"/>
  <c r="D71" i="7" s="1"/>
  <c r="C70" i="7"/>
  <c r="B70" i="7"/>
  <c r="D70" i="7" s="1"/>
  <c r="C69" i="7"/>
  <c r="B69" i="7"/>
  <c r="D69" i="7" s="1"/>
  <c r="C68" i="7"/>
  <c r="B68" i="7"/>
  <c r="D68" i="7" s="1"/>
  <c r="C67" i="7"/>
  <c r="B67" i="7"/>
  <c r="D67" i="7" s="1"/>
  <c r="C66" i="7"/>
  <c r="B66" i="7"/>
  <c r="D66" i="7" s="1"/>
  <c r="C65" i="7"/>
  <c r="B65" i="7"/>
  <c r="D65" i="7" s="1"/>
  <c r="C64" i="7"/>
  <c r="B64" i="7"/>
  <c r="D64" i="7" s="1"/>
  <c r="C63" i="7"/>
  <c r="B63" i="7"/>
  <c r="D63" i="7" s="1"/>
  <c r="C62" i="7"/>
  <c r="B62" i="7"/>
  <c r="D62" i="7" s="1"/>
  <c r="C61" i="7"/>
  <c r="B61" i="7"/>
  <c r="D61" i="7" s="1"/>
  <c r="C60" i="7"/>
  <c r="B60" i="7"/>
  <c r="D60" i="7" s="1"/>
  <c r="C59" i="7"/>
  <c r="B59" i="7"/>
  <c r="D59" i="7" s="1"/>
  <c r="C58" i="7"/>
  <c r="B58" i="7"/>
  <c r="D58" i="7" s="1"/>
  <c r="C57" i="7"/>
  <c r="B57" i="7"/>
  <c r="D57" i="7" s="1"/>
  <c r="C56" i="7"/>
  <c r="B56" i="7"/>
  <c r="D56" i="7" s="1"/>
  <c r="C55" i="7"/>
  <c r="B55" i="7"/>
  <c r="D55" i="7" s="1"/>
  <c r="C54" i="7"/>
  <c r="B54" i="7"/>
  <c r="D54" i="7" s="1"/>
  <c r="C53" i="7"/>
  <c r="B53" i="7"/>
  <c r="D53" i="7" s="1"/>
  <c r="C52" i="7"/>
  <c r="B52" i="7"/>
  <c r="D52" i="7" s="1"/>
  <c r="C51" i="7"/>
  <c r="B51" i="7"/>
  <c r="D51" i="7" s="1"/>
  <c r="C50" i="7"/>
  <c r="B50" i="7"/>
  <c r="D50" i="7" s="1"/>
  <c r="C49" i="7"/>
  <c r="B49" i="7"/>
  <c r="D49" i="7" s="1"/>
  <c r="C48" i="7"/>
  <c r="B48" i="7"/>
  <c r="D48" i="7" s="1"/>
  <c r="C47" i="7"/>
  <c r="B47" i="7"/>
  <c r="D47" i="7" s="1"/>
  <c r="C46" i="7"/>
  <c r="B46" i="7"/>
  <c r="D46" i="7" s="1"/>
  <c r="C45" i="7"/>
  <c r="B45" i="7"/>
  <c r="D45" i="7" s="1"/>
  <c r="C44" i="7"/>
  <c r="B44" i="7"/>
  <c r="D44" i="7" s="1"/>
  <c r="C43" i="7"/>
  <c r="B43" i="7"/>
  <c r="D43" i="7" s="1"/>
  <c r="C42" i="7"/>
  <c r="B42" i="7"/>
  <c r="D42" i="7" s="1"/>
  <c r="C41" i="7"/>
  <c r="B41" i="7"/>
  <c r="D41" i="7" s="1"/>
  <c r="C40" i="7"/>
  <c r="B40" i="7"/>
  <c r="D40" i="7" s="1"/>
  <c r="C39" i="7"/>
  <c r="B39" i="7"/>
  <c r="D39" i="7" s="1"/>
  <c r="C38" i="7"/>
  <c r="B38" i="7"/>
  <c r="D38" i="7" s="1"/>
  <c r="C37" i="7"/>
  <c r="B37" i="7"/>
  <c r="D37" i="7" s="1"/>
  <c r="C36" i="7"/>
  <c r="B36" i="7"/>
  <c r="D36" i="7" s="1"/>
  <c r="C35" i="7"/>
  <c r="B35" i="7"/>
  <c r="D35" i="7" s="1"/>
  <c r="C34" i="7"/>
  <c r="B34" i="7"/>
  <c r="D34" i="7" s="1"/>
  <c r="C33" i="7"/>
  <c r="B33" i="7"/>
  <c r="D33" i="7" s="1"/>
  <c r="C32" i="7"/>
  <c r="B32" i="7"/>
  <c r="D32" i="7" s="1"/>
  <c r="C31" i="7"/>
  <c r="B31" i="7"/>
  <c r="D31" i="7" s="1"/>
  <c r="C30" i="7"/>
  <c r="B30" i="7"/>
  <c r="D30" i="7" s="1"/>
  <c r="C29" i="7"/>
  <c r="B29" i="7"/>
  <c r="D29" i="7" s="1"/>
  <c r="C28" i="7"/>
  <c r="B28" i="7"/>
  <c r="D28" i="7" s="1"/>
  <c r="C27" i="7"/>
  <c r="B27" i="7"/>
  <c r="D27" i="7" s="1"/>
  <c r="C26" i="7"/>
  <c r="B26" i="7"/>
  <c r="D26" i="7" s="1"/>
  <c r="C25" i="7"/>
  <c r="B25" i="7"/>
  <c r="D25" i="7" s="1"/>
  <c r="C24" i="7"/>
  <c r="B24" i="7"/>
  <c r="D24" i="7" s="1"/>
  <c r="C23" i="7"/>
  <c r="B23" i="7"/>
  <c r="D23" i="7" s="1"/>
  <c r="C22" i="7"/>
  <c r="B22" i="7"/>
  <c r="D22" i="7" s="1"/>
  <c r="C21" i="7"/>
  <c r="B21" i="7"/>
  <c r="D21" i="7" s="1"/>
  <c r="C20" i="7"/>
  <c r="B20" i="7"/>
  <c r="D20" i="7" s="1"/>
  <c r="C19" i="7"/>
  <c r="B19" i="7"/>
  <c r="D19" i="7" s="1"/>
  <c r="C18" i="7"/>
  <c r="B18" i="7"/>
  <c r="D18" i="7" s="1"/>
  <c r="C17" i="7"/>
  <c r="B17" i="7"/>
  <c r="D17" i="7" s="1"/>
  <c r="C16" i="7"/>
  <c r="B16" i="7"/>
  <c r="D16" i="7" s="1"/>
  <c r="C15" i="7"/>
  <c r="B15" i="7"/>
  <c r="D15" i="7" s="1"/>
  <c r="C14" i="7"/>
  <c r="B14" i="7"/>
  <c r="D14" i="7" s="1"/>
  <c r="C13" i="7"/>
  <c r="B13" i="7"/>
  <c r="D13" i="7" s="1"/>
  <c r="C12" i="7"/>
  <c r="B12" i="7"/>
  <c r="D12" i="7" s="1"/>
  <c r="C11" i="7"/>
  <c r="B11" i="7"/>
  <c r="D11" i="7" s="1"/>
  <c r="C10" i="7"/>
  <c r="B10" i="7"/>
  <c r="D10" i="7" s="1"/>
  <c r="C9" i="7"/>
  <c r="B9" i="7"/>
  <c r="D9" i="7" s="1"/>
  <c r="C8" i="7"/>
  <c r="B8" i="7"/>
  <c r="D8" i="7" s="1"/>
  <c r="C7" i="7"/>
  <c r="B7" i="7"/>
  <c r="D7" i="7" s="1"/>
  <c r="C6" i="7"/>
  <c r="B6" i="7"/>
  <c r="D6" i="7" s="1"/>
  <c r="C5" i="7"/>
  <c r="B5" i="7"/>
  <c r="D5" i="7" s="1"/>
  <c r="C4" i="7"/>
  <c r="B4" i="7"/>
  <c r="D4" i="7" s="1"/>
  <c r="C3" i="7"/>
  <c r="B3" i="7"/>
  <c r="D3" i="7" s="1"/>
  <c r="A2" i="7" a="1"/>
  <c r="A2" i="7"/>
  <c r="B26" i="6"/>
  <c r="B21" i="6"/>
  <c r="B12" i="6"/>
  <c r="B4" i="6"/>
  <c r="B5" i="6" s="1"/>
  <c r="B11" i="1"/>
  <c r="B10" i="1"/>
  <c r="B9" i="1"/>
  <c r="C2" i="7" l="1"/>
  <c r="B2" i="7"/>
  <c r="D2" i="7" l="1"/>
  <c r="B2" i="6" s="1"/>
  <c r="B1" i="6"/>
  <c r="B2" i="1" s="1"/>
  <c r="D2" i="1" l="1"/>
  <c r="B27" i="6"/>
  <c r="B22" i="6"/>
  <c r="B8" i="1" s="1"/>
  <c r="B14" i="6"/>
  <c r="B13" i="6"/>
  <c r="B15" i="6" s="1"/>
  <c r="B16" i="6" s="1"/>
  <c r="B17" i="6" s="1"/>
  <c r="B8" i="6"/>
  <c r="B7" i="1" s="1"/>
  <c r="H2" i="1" s="1"/>
  <c r="J2" i="3" l="1"/>
  <c r="L2" i="3" s="1"/>
  <c r="B3" i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100-000001000000}">
      <text>
        <r>
          <rPr>
            <sz val="10"/>
            <color rgb="FF000000"/>
            <rFont val="Arial"/>
            <scheme val="minor"/>
          </rPr>
          <t>Inserisci se hai codici ATECO multipli, altrimenti non serve</t>
        </r>
      </text>
    </comment>
  </commentList>
</comments>
</file>

<file path=xl/sharedStrings.xml><?xml version="1.0" encoding="utf-8"?>
<sst xmlns="http://schemas.openxmlformats.org/spreadsheetml/2006/main" count="2567" uniqueCount="2545">
  <si>
    <t>Reddito</t>
  </si>
  <si>
    <t>Fatturato lordo</t>
  </si>
  <si>
    <t>Reddito netto</t>
  </si>
  <si>
    <t>Totale da pagare</t>
  </si>
  <si>
    <t>Totale fatturato lordo</t>
  </si>
  <si>
    <t>Totale reddito netto</t>
  </si>
  <si>
    <t>Da pagare</t>
  </si>
  <si>
    <t>IRPEF da pagare</t>
  </si>
  <si>
    <t>INPS da pagare</t>
  </si>
  <si>
    <t>Commercialista da pagare</t>
  </si>
  <si>
    <t>Marche da bollo</t>
  </si>
  <si>
    <t>Altro da pagare</t>
  </si>
  <si>
    <t>N</t>
  </si>
  <si>
    <t>Data</t>
  </si>
  <si>
    <t>Cliente</t>
  </si>
  <si>
    <t>Imponibile</t>
  </si>
  <si>
    <t>Codice ATECO</t>
  </si>
  <si>
    <t>Investiti</t>
  </si>
  <si>
    <t>Disinvestiti / Pagati</t>
  </si>
  <si>
    <t>Saldo da investire</t>
  </si>
  <si>
    <t>Valore</t>
  </si>
  <si>
    <t>Note</t>
  </si>
  <si>
    <t>(Se hai piú codici ATECO non inserire niente e mettili sulle fatture)</t>
  </si>
  <si>
    <t>Aliquota imposta sostitutiva IRPEF</t>
  </si>
  <si>
    <t>(5% nei primi 5 anni da forfettario, 15% poi)</t>
  </si>
  <si>
    <t>Tipo INPS</t>
  </si>
  <si>
    <t>Gestione separata</t>
  </si>
  <si>
    <t>(Tipo di gestione INPS)</t>
  </si>
  <si>
    <t>Commerciante/artigiano</t>
  </si>
  <si>
    <t>Commerciante</t>
  </si>
  <si>
    <t>(Compila se INPS é Camera di Commercio, altrimenti non viene preso in considerazione)</t>
  </si>
  <si>
    <t>Sconto INPS commercianti/artigiani</t>
  </si>
  <si>
    <t>(É possibile avere una riduzione per artigiani e commercianti)</t>
  </si>
  <si>
    <t>Lavoro dipendente</t>
  </si>
  <si>
    <t>(Se sei dipendente e sei iscritto alla Camera di Commercio per l'INPS non lo paghi, con la Gestione separata é ridotto)</t>
  </si>
  <si>
    <t>Costo annuale commercialista (compresa IVA)</t>
  </si>
  <si>
    <t>Altri costi annuali (software gestione fatture, ecc.)</t>
  </si>
  <si>
    <t>Limite permanenza forfettario</t>
  </si>
  <si>
    <t>Limite ultimo permanenza forfettario</t>
  </si>
  <si>
    <t>INPS CCIAA</t>
  </si>
  <si>
    <t>Contributi fissi commercianti</t>
  </si>
  <si>
    <t>Contributi fissi artigiani</t>
  </si>
  <si>
    <t>Sconto</t>
  </si>
  <si>
    <t>Primo limite fisso contributi</t>
  </si>
  <si>
    <t>Percentuale contributi variabili commercianti primo limite</t>
  </si>
  <si>
    <t>Percentuale contributi variabili artigiani primo limite</t>
  </si>
  <si>
    <t>Secondo limite fisso contributi</t>
  </si>
  <si>
    <t>Percentuale contributi variabili commercianti secondo limite</t>
  </si>
  <si>
    <t>Percentuale contributi variabili artigiani secondo limite</t>
  </si>
  <si>
    <t>INPS Gestione separata</t>
  </si>
  <si>
    <t>Percentuale contributi variabili in gestione separata</t>
  </si>
  <si>
    <t>Percentuale contributi variabili in gestione separata da dipendente</t>
  </si>
  <si>
    <t>INPS Liberi professionisti</t>
  </si>
  <si>
    <t>Percentuale contributi cassa professionale</t>
  </si>
  <si>
    <t>Costo fatture</t>
  </si>
  <si>
    <t>Limite marca da bollo</t>
  </si>
  <si>
    <t>Costo marca da bollo</t>
  </si>
  <si>
    <t>Income lordo</t>
  </si>
  <si>
    <t>Reddito lordo</t>
  </si>
  <si>
    <t>Fatture con marca da bollo</t>
  </si>
  <si>
    <t>Costo marche da bollo</t>
  </si>
  <si>
    <t>IRPEF</t>
  </si>
  <si>
    <t>INPS Gestione commercianti</t>
  </si>
  <si>
    <t>Contributi fissi</t>
  </si>
  <si>
    <t>Reddito eccedente primo limite INPS</t>
  </si>
  <si>
    <t>Reddito eccedente secondo limite INPS</t>
  </si>
  <si>
    <t>Contributi da pagare in eccedenza</t>
  </si>
  <si>
    <t>Totale contributi da pagare</t>
  </si>
  <si>
    <t>Totale contributi da pagare con sconto</t>
  </si>
  <si>
    <t>Percentuale contributi da pagare</t>
  </si>
  <si>
    <t>Contributi da pagare</t>
  </si>
  <si>
    <t>INPS Libero professionista</t>
  </si>
  <si>
    <t>Aliquota contributi</t>
  </si>
  <si>
    <t>Codici ATECO</t>
  </si>
  <si>
    <t>Somma</t>
  </si>
  <si>
    <t>Coefficiente di redditivitá</t>
  </si>
  <si>
    <t>Titolo ATECO</t>
  </si>
  <si>
    <t>01.11.10</t>
  </si>
  <si>
    <t>Coltivazione di cereali (escluso il riso)</t>
  </si>
  <si>
    <t>01.11.20</t>
  </si>
  <si>
    <t>Coltivazione di semi oleosi</t>
  </si>
  <si>
    <t>01.11.30</t>
  </si>
  <si>
    <t>Coltivazione di legumi da granella</t>
  </si>
  <si>
    <t>01.11.40</t>
  </si>
  <si>
    <t>Coltivazioni miste di cereali, legumi da granella e semi oleosi</t>
  </si>
  <si>
    <t>01.12.00</t>
  </si>
  <si>
    <t>Coltivazione di riso</t>
  </si>
  <si>
    <t>01.13.10</t>
  </si>
  <si>
    <t>Coltivazione di ortaggi (inclusi i meloni) in foglia, a fusto, a frutto, in radici, bulbi e tuberi in piena aria (escluse barbabietola da zucchero e patate)</t>
  </si>
  <si>
    <t>01.13.21</t>
  </si>
  <si>
    <t>Coltivazione di ortaggi (inclusi i meloni) in foglia, a fusto, a frutto, in radici, bulbi e tuberi in colture protette fuori suolo (escluse barbabietola da zucchero e patate)</t>
  </si>
  <si>
    <t>01.13.29</t>
  </si>
  <si>
    <t>Coltivazione di ortaggi (inclusi i meloni) in foglia, a fusto, a frutto, in radici, bulbi e tuberi in colture protette ad esclusione delle colture fuori suolo (escluse barbabietola da zucchero e patate)</t>
  </si>
  <si>
    <t>01.13.30</t>
  </si>
  <si>
    <t>Coltivazione di barbabietola da zucchero</t>
  </si>
  <si>
    <t>01.13.40</t>
  </si>
  <si>
    <t>Coltivazione di patate</t>
  </si>
  <si>
    <t>01.14.00</t>
  </si>
  <si>
    <t>Coltivazione di canna da zucchero</t>
  </si>
  <si>
    <t>01.15.00</t>
  </si>
  <si>
    <t>Coltivazione di tabacco</t>
  </si>
  <si>
    <t>01.16.00</t>
  </si>
  <si>
    <t>Coltivazione di piante per la preparazione di fibre tessili</t>
  </si>
  <si>
    <t>01.19.10</t>
  </si>
  <si>
    <t>Coltivazione di fiori in piena aria</t>
  </si>
  <si>
    <t>01.19.21</t>
  </si>
  <si>
    <t>Coltivazione di fiori in colture protette fuori suolo</t>
  </si>
  <si>
    <t>01.19.29</t>
  </si>
  <si>
    <t>Coltivazione di fiori in colture protette ad esclusione delle colture fuori suolo</t>
  </si>
  <si>
    <t>01.19.90</t>
  </si>
  <si>
    <t>Coltivazione di piante da foraggio e di altre colture non permanenti</t>
  </si>
  <si>
    <t>01.21.00</t>
  </si>
  <si>
    <t>Coltivazione di uva</t>
  </si>
  <si>
    <t>01.22.00</t>
  </si>
  <si>
    <t>Coltivazione di frutta di origine tropicale e subtropicale</t>
  </si>
  <si>
    <t>01.23.00</t>
  </si>
  <si>
    <t>Coltivazione di agrumi</t>
  </si>
  <si>
    <t>01.24.00</t>
  </si>
  <si>
    <t>Coltivazione di pomacee e frutta a nocciolo</t>
  </si>
  <si>
    <t>01.25.00</t>
  </si>
  <si>
    <t>Coltivazione di altri alberi da frutta, frutti di bosco e frutta in guscio</t>
  </si>
  <si>
    <t>01.26.00</t>
  </si>
  <si>
    <t>Coltivazione di frutti oleosi</t>
  </si>
  <si>
    <t>01.27.00</t>
  </si>
  <si>
    <t>Coltivazione di piante per la produzione di bevande</t>
  </si>
  <si>
    <t>01.28.00</t>
  </si>
  <si>
    <t>Coltivazione di spezie, piante aromatiche e farmaceutiche</t>
  </si>
  <si>
    <t>01.29.00</t>
  </si>
  <si>
    <t>Coltivazione di altre colture permanenti (inclusi alberi di Natale)</t>
  </si>
  <si>
    <t>01.30.00</t>
  </si>
  <si>
    <t>Riproduzione delle piante</t>
  </si>
  <si>
    <t>01.41.00</t>
  </si>
  <si>
    <t>Allevamento di bovini e bufale da latte, produzione di latte crudo</t>
  </si>
  <si>
    <t>01.42.00</t>
  </si>
  <si>
    <t>Allevamento di bovini e bufalini da carne</t>
  </si>
  <si>
    <t>01.43.00</t>
  </si>
  <si>
    <t>Allevamento di cavalli e altri equini</t>
  </si>
  <si>
    <t>01.44.00</t>
  </si>
  <si>
    <t>Allevamento di cammelli e camelidi</t>
  </si>
  <si>
    <t>01.45.00</t>
  </si>
  <si>
    <t>Allevamento di ovini e caprini</t>
  </si>
  <si>
    <t>01.46.00</t>
  </si>
  <si>
    <t>Allevamento di suini</t>
  </si>
  <si>
    <t>01.47.00</t>
  </si>
  <si>
    <t>Allevamento di pollame</t>
  </si>
  <si>
    <t>01.49.10</t>
  </si>
  <si>
    <t>Allevamento di conigli</t>
  </si>
  <si>
    <t>01.49.20</t>
  </si>
  <si>
    <t>Allevamento di animali da pelliccia</t>
  </si>
  <si>
    <t>01.49.30</t>
  </si>
  <si>
    <t>Apicoltura</t>
  </si>
  <si>
    <t>01.49.40</t>
  </si>
  <si>
    <t>Bachicoltura</t>
  </si>
  <si>
    <t>01.49.90</t>
  </si>
  <si>
    <t>Allevamento di altri animali n.c.a.</t>
  </si>
  <si>
    <t>01.50.00</t>
  </si>
  <si>
    <t>Coltivazioni agricole associate all'allevamento di animali: attività mista</t>
  </si>
  <si>
    <t>01.61.00</t>
  </si>
  <si>
    <t>Attività di supporto alla produzione vegetale</t>
  </si>
  <si>
    <t>01.62.01</t>
  </si>
  <si>
    <t>Attività dei maniscalchi</t>
  </si>
  <si>
    <t>01.62.09</t>
  </si>
  <si>
    <t>Altre attività di supporto alla produzione animale (esclusi i servizi veterinari)</t>
  </si>
  <si>
    <t>01.63.00</t>
  </si>
  <si>
    <t>Attività che seguono la raccolta</t>
  </si>
  <si>
    <t>01.64.01</t>
  </si>
  <si>
    <t>Pulitura e cernita di semi e granaglie</t>
  </si>
  <si>
    <t>01.64.09</t>
  </si>
  <si>
    <t>Altre lavorazioni delle sementi per la semina</t>
  </si>
  <si>
    <t>01.70.00</t>
  </si>
  <si>
    <t>Caccia, cattura di animali e servizi connessi</t>
  </si>
  <si>
    <t>02.10.00</t>
  </si>
  <si>
    <t>Silvicoltura e altre attività forestali</t>
  </si>
  <si>
    <t>02.20.00</t>
  </si>
  <si>
    <t>Utilizzo di aree forestali</t>
  </si>
  <si>
    <t>02.30.00</t>
  </si>
  <si>
    <t>Raccolta di prodotti selvatici non legnosi</t>
  </si>
  <si>
    <t>02.40.00</t>
  </si>
  <si>
    <t>Servizi di supporto per la silvicoltura</t>
  </si>
  <si>
    <t>03.11.00</t>
  </si>
  <si>
    <t>Pesca in acque marine e lagunari e servizi connessi</t>
  </si>
  <si>
    <t>03.12.00</t>
  </si>
  <si>
    <t>Pesca in acque dolci e servizi connessi</t>
  </si>
  <si>
    <t>03.21.00</t>
  </si>
  <si>
    <t>Acquacoltura in acqua di mare, salmastra o lagunare e servizi connessi</t>
  </si>
  <si>
    <t>03.22.00</t>
  </si>
  <si>
    <t>Acquacoltura in acque dolci e servizi connessi</t>
  </si>
  <si>
    <t>05.10.00</t>
  </si>
  <si>
    <t>Estrazione di antracite e litantrace</t>
  </si>
  <si>
    <t>05.20.00</t>
  </si>
  <si>
    <t>Estrazione di lignite</t>
  </si>
  <si>
    <t>06.10.00</t>
  </si>
  <si>
    <t>Estrazione di petrolio greggio</t>
  </si>
  <si>
    <t>06.20.00</t>
  </si>
  <si>
    <t>Estrazione di gas naturale</t>
  </si>
  <si>
    <t>07.10.00</t>
  </si>
  <si>
    <t>Estrazione di minerali metalliferi ferrosi</t>
  </si>
  <si>
    <t>07.21.00</t>
  </si>
  <si>
    <t>Estrazione di minerali di uranio e di torio</t>
  </si>
  <si>
    <t>07.29.00</t>
  </si>
  <si>
    <t>Estrazione di altri minerali metalliferi non ferrosi</t>
  </si>
  <si>
    <t>08.11.00</t>
  </si>
  <si>
    <t>Estrazione di pietre ornamentali e da costruzione, calcare, pietra da gesso, creta e ardesia</t>
  </si>
  <si>
    <t>08.12.00</t>
  </si>
  <si>
    <t>Estrazione di ghiaia, sabbia; estrazione di argille e caolino</t>
  </si>
  <si>
    <t>08.91.00</t>
  </si>
  <si>
    <t>Estrazione di minerali per l'industria chimica e per la produzione di fertilizzanti</t>
  </si>
  <si>
    <t>08.92.00</t>
  </si>
  <si>
    <t>Estrazione di torba</t>
  </si>
  <si>
    <t>08.93.00</t>
  </si>
  <si>
    <t>Estrazione di sale</t>
  </si>
  <si>
    <t>08.99.01</t>
  </si>
  <si>
    <t>Estrazione di asfalto e bitume naturale</t>
  </si>
  <si>
    <t>08.99.09</t>
  </si>
  <si>
    <t>Estrazione di pomice e di altri minerali n.c.a.</t>
  </si>
  <si>
    <t>09.10.00</t>
  </si>
  <si>
    <t>Attività di supporto all'estrazione di petrolio e di gas naturale</t>
  </si>
  <si>
    <t>09.90.01</t>
  </si>
  <si>
    <t>Attività di supporto all'estrazione di pietre ornamentali, da costruzione, da gesso, di anidrite, per calce e cementi, di dolomite, di ardesia, di ghiaia e sabbia, di argilla, di caolino, di pomice</t>
  </si>
  <si>
    <t>09.90.09</t>
  </si>
  <si>
    <t>Attività di supporto all'estrazione di altri minerali n.c.a.</t>
  </si>
  <si>
    <t>10.11.00</t>
  </si>
  <si>
    <t>Produzione di carne non di volatili e di prodotti della macellazione (attività dei mattatoi)</t>
  </si>
  <si>
    <t>10.12.00</t>
  </si>
  <si>
    <t>Produzione di carne di volatili e prodotti della loro macellazione (attività dei mattatoi)</t>
  </si>
  <si>
    <t>10.13.00</t>
  </si>
  <si>
    <t>Produzione di prodotti a base di carne (inclusa la carne di volatili)</t>
  </si>
  <si>
    <t>10.20.00</t>
  </si>
  <si>
    <t>Lavorazione e conservazione di pesce, crostacei e molluschi mediante surgelamento, salatura eccetera</t>
  </si>
  <si>
    <t>10.31.00</t>
  </si>
  <si>
    <t>Lavorazione e conservazione delle patate</t>
  </si>
  <si>
    <t>10.32.00</t>
  </si>
  <si>
    <t>Produzione di succhi di frutta e di ortaggi</t>
  </si>
  <si>
    <t>10.39.00</t>
  </si>
  <si>
    <t>Lavorazione e conservazione di frutta e di ortaggi (esclusi i succhi di frutta e di ortaggi)</t>
  </si>
  <si>
    <t>10.41.10</t>
  </si>
  <si>
    <t>Produzione di olio di oliva da olive prevalentemente non di produzione propria</t>
  </si>
  <si>
    <t>10.41.20</t>
  </si>
  <si>
    <t>Produzione di olio raffinato o grezzo da semi oleosi o frutti oleosi prevalentemente non di produzione propria</t>
  </si>
  <si>
    <t>10.41.30</t>
  </si>
  <si>
    <t>Produzione di oli e grassi animali grezzi o raffinati</t>
  </si>
  <si>
    <t>10.42.00</t>
  </si>
  <si>
    <t>Produzione di margarina e di grassi commestibili simili</t>
  </si>
  <si>
    <t>10.51.10</t>
  </si>
  <si>
    <t>Trattamento igienico del latte</t>
  </si>
  <si>
    <t>10.51.20</t>
  </si>
  <si>
    <t>Produzione dei derivati del latte</t>
  </si>
  <si>
    <t>10.52.00</t>
  </si>
  <si>
    <t>Produzione di gelati senza vendita diretta al pubblico</t>
  </si>
  <si>
    <t>10.61.10</t>
  </si>
  <si>
    <t>Molitura del frumento</t>
  </si>
  <si>
    <t>10.61.20</t>
  </si>
  <si>
    <t>Molitura di altri cereali</t>
  </si>
  <si>
    <t>10.61.30</t>
  </si>
  <si>
    <t>Lavorazione del riso</t>
  </si>
  <si>
    <t>10.61.40</t>
  </si>
  <si>
    <t>Altre lavorazioni di semi e granaglie</t>
  </si>
  <si>
    <t>10.62.00</t>
  </si>
  <si>
    <t>Produzione di amidi e di prodotti amidacei (inclusa produzione di olio di mais)</t>
  </si>
  <si>
    <t>10.71.10</t>
  </si>
  <si>
    <t>Produzione di prodotti di panetteria freschi</t>
  </si>
  <si>
    <t>10.71.20</t>
  </si>
  <si>
    <t>Produzione di pasticceria fresca</t>
  </si>
  <si>
    <t>10.72.00</t>
  </si>
  <si>
    <t>Produzione di fette biscottate, biscotti; prodotti di pasticceria conservati</t>
  </si>
  <si>
    <t>10.73.00</t>
  </si>
  <si>
    <t>Produzione di paste alimentari, di cuscus e di prodotti farinacei simili</t>
  </si>
  <si>
    <t>10.81.00</t>
  </si>
  <si>
    <t>Produzione di zucchero</t>
  </si>
  <si>
    <t>10.82.00</t>
  </si>
  <si>
    <t>Produzione di cacao in polvere, cioccolato, caramelle e confetterie</t>
  </si>
  <si>
    <t>10.83.01</t>
  </si>
  <si>
    <t>Lavorazione del caffè</t>
  </si>
  <si>
    <t>10.83.02</t>
  </si>
  <si>
    <t>Lavorazione del tè e di altri preparati per infusi</t>
  </si>
  <si>
    <t>10.84.00</t>
  </si>
  <si>
    <t>Produzione di condimenti e spezie</t>
  </si>
  <si>
    <t>10.85.01</t>
  </si>
  <si>
    <t>Produzione di piatti pronti a base di carne e pollame</t>
  </si>
  <si>
    <t>10.85.02</t>
  </si>
  <si>
    <t>Produzione di piatti pronti a base di pesce, inclusi fish and chips</t>
  </si>
  <si>
    <t>10.85.03</t>
  </si>
  <si>
    <t>Produzione di piatti pronti a base di ortaggi</t>
  </si>
  <si>
    <t>10.85.04</t>
  </si>
  <si>
    <t>Produzione di pizza confezionata</t>
  </si>
  <si>
    <t>10.85.05</t>
  </si>
  <si>
    <t>Produzione di piatti pronti a base di pasta</t>
  </si>
  <si>
    <t>10.85.09</t>
  </si>
  <si>
    <t>Produzione di pasti e piatti pronti di altri prodotti alimentari</t>
  </si>
  <si>
    <t>10.86.00</t>
  </si>
  <si>
    <t>Produzione di preparati omogeneizzati e di alimenti dietetici</t>
  </si>
  <si>
    <t>10.89.01</t>
  </si>
  <si>
    <t>Produzione di estratti e succhi di carne</t>
  </si>
  <si>
    <t>10.89.09</t>
  </si>
  <si>
    <t>Produzione di altri prodotti alimentari n.c.a.</t>
  </si>
  <si>
    <t>10.91.00</t>
  </si>
  <si>
    <t>Produzione di mangimi per l'alimentazione degli animali da allevamento</t>
  </si>
  <si>
    <t>10.92.00</t>
  </si>
  <si>
    <t>Produzione di prodotti per l'alimentazione degli animali da compagnia</t>
  </si>
  <si>
    <t>11.01.00</t>
  </si>
  <si>
    <t>Distillazione, rettifica e miscelatura degli alcolici</t>
  </si>
  <si>
    <t>11.02.10</t>
  </si>
  <si>
    <t>Produzione di vini da tavola e v.q.p.r.d.</t>
  </si>
  <si>
    <t>11.02.20</t>
  </si>
  <si>
    <t>Produzione di vino spumante e altri vini speciali</t>
  </si>
  <si>
    <t>11.03.00</t>
  </si>
  <si>
    <t>Produzione di sidro e di altri vini a base di frutta</t>
  </si>
  <si>
    <t>11.04.00</t>
  </si>
  <si>
    <t>Produzione di altre bevande fermentate non distillate</t>
  </si>
  <si>
    <t>11.05.00</t>
  </si>
  <si>
    <t>Produzione di birra</t>
  </si>
  <si>
    <t>11.06.00</t>
  </si>
  <si>
    <t>Produzione di malto</t>
  </si>
  <si>
    <t>11.07.00</t>
  </si>
  <si>
    <t>Industria delle bibite analcoliche, delle acque minerali e di altre acque in bottiglia</t>
  </si>
  <si>
    <t>12.00.00</t>
  </si>
  <si>
    <t>Industria del tabacco</t>
  </si>
  <si>
    <t>13.10.00</t>
  </si>
  <si>
    <t>Preparazione e filatura di fibre tessili</t>
  </si>
  <si>
    <t>13.20.00</t>
  </si>
  <si>
    <t>Tessitura</t>
  </si>
  <si>
    <t>13.30.00</t>
  </si>
  <si>
    <t>Finissaggio dei tessili, degli articoli di vestiario e attività similari</t>
  </si>
  <si>
    <t>13.91.00</t>
  </si>
  <si>
    <t>Fabbricazione di tessuti a maglia</t>
  </si>
  <si>
    <t>13.92.10</t>
  </si>
  <si>
    <t>Confezionamento di biancheria da letto, da tavola e per l'arredamento</t>
  </si>
  <si>
    <t>13.92.20</t>
  </si>
  <si>
    <t>Fabbricazione di articoli in materie tessili n.c.a.</t>
  </si>
  <si>
    <t>13.93.00</t>
  </si>
  <si>
    <t>Fabbricazione di tappeti e moquette</t>
  </si>
  <si>
    <t>13.94.00</t>
  </si>
  <si>
    <t>Fabbricazione di spago, corde, funi e reti</t>
  </si>
  <si>
    <t>13.95.00</t>
  </si>
  <si>
    <t>Fabbricazione di tessuti non tessuti e di articoli in tali materie (esclusi gli articoli di abbigliamento)</t>
  </si>
  <si>
    <t>13.96.10</t>
  </si>
  <si>
    <t>Fabbricazione di nastri, etichette e passamanerie di fibre tessili</t>
  </si>
  <si>
    <t>13.96.20</t>
  </si>
  <si>
    <t>Fabbricazione di altri articoli tessili tecnici ed industriali</t>
  </si>
  <si>
    <t>13.99.10</t>
  </si>
  <si>
    <t>Fabbricazione di ricami</t>
  </si>
  <si>
    <t>13.99.20</t>
  </si>
  <si>
    <t>Fabbricazione di tulle, pizzi e merletti</t>
  </si>
  <si>
    <t>13.99.90</t>
  </si>
  <si>
    <t>Fabbricazione di feltro e articoli tessili diversi</t>
  </si>
  <si>
    <t>14.11.00</t>
  </si>
  <si>
    <t>Confezione di abbigliamento in pelle e similpelle</t>
  </si>
  <si>
    <t>14.12.00</t>
  </si>
  <si>
    <t>Confezione di camici, divise ed altri indumenti da lavoro</t>
  </si>
  <si>
    <t>14.13.10</t>
  </si>
  <si>
    <t>Confezione in serie di abbigliamento esterno</t>
  </si>
  <si>
    <t>14.13.20</t>
  </si>
  <si>
    <t>Sartoria e confezione su misura di abbigliamento esterno</t>
  </si>
  <si>
    <t>14.14.00</t>
  </si>
  <si>
    <t>Confezione di camicie, T-shirt, corsetteria e altra biancheria intima</t>
  </si>
  <si>
    <t>14.19.10</t>
  </si>
  <si>
    <t>Confezioni varie e accessori per l'abbigliamento</t>
  </si>
  <si>
    <t>14.19.21</t>
  </si>
  <si>
    <t>Fabbricazione di calzature realizzate in materiale tessile senza suole applicate</t>
  </si>
  <si>
    <t>14.19.29</t>
  </si>
  <si>
    <t>Confezioni di abbigliamento sportivo o di altri indumenti particolari</t>
  </si>
  <si>
    <t>14.20.00</t>
  </si>
  <si>
    <t>Confezione di articoli in pelliccia</t>
  </si>
  <si>
    <t>14.31.00</t>
  </si>
  <si>
    <t>Fabbricazione di articoli di calzetteria in maglia</t>
  </si>
  <si>
    <t>14.39.00</t>
  </si>
  <si>
    <t>Fabbricazione di pullover, cardigan ed altri articoli simili a maglia</t>
  </si>
  <si>
    <t>15.11.00</t>
  </si>
  <si>
    <t>Preparazione e concia del cuoio e pelle; preparazione e tintura di pellicce</t>
  </si>
  <si>
    <t>15.12.01</t>
  </si>
  <si>
    <t>Fabbricazione di frustini e scudisci per equitazione</t>
  </si>
  <si>
    <t>15.12.09</t>
  </si>
  <si>
    <t>Fabbricazione di altri articoli da viaggio, borse e simili, pelletteria e selleria</t>
  </si>
  <si>
    <t>15.20.10</t>
  </si>
  <si>
    <t>Fabbricazione di calzature</t>
  </si>
  <si>
    <t>15.20.20</t>
  </si>
  <si>
    <t>Fabbricazione di parti in cuoio per calzature</t>
  </si>
  <si>
    <t>16.10.00</t>
  </si>
  <si>
    <t>Taglio e piallatura del legno</t>
  </si>
  <si>
    <t>16.21.00</t>
  </si>
  <si>
    <t>Fabbricazione di fogli da impiallacciatura e di pannelli a base di legno</t>
  </si>
  <si>
    <t>16.22.00</t>
  </si>
  <si>
    <t>Fabbricazione di pavimenti in parquet assemblato</t>
  </si>
  <si>
    <t>16.23.10</t>
  </si>
  <si>
    <t>Fabbricazione di porte e finestre in legno (escluse porte blindate)</t>
  </si>
  <si>
    <t>16.23.21</t>
  </si>
  <si>
    <t>Fabbricazione di stand e altre strutture simili per convegni e fiere prevalentemente in legno</t>
  </si>
  <si>
    <t>16.23.22</t>
  </si>
  <si>
    <t>Fabbricazione di altri elementi in legno e di falegnameria per l'edilizia (esclusi stand e strutture simili per convegni e fiere)</t>
  </si>
  <si>
    <t>16.24.00</t>
  </si>
  <si>
    <t>Fabbricazione di imballaggi in legno</t>
  </si>
  <si>
    <t>16.29.11</t>
  </si>
  <si>
    <t>Fabbricazione di parti in legno per calzature</t>
  </si>
  <si>
    <t>16.29.12</t>
  </si>
  <si>
    <t>Fabbricazione di manici di ombrelli, bastoni e simili</t>
  </si>
  <si>
    <t>16.29.19</t>
  </si>
  <si>
    <t>Fabbricazione di altri prodotti vari in legno (esclusi i mobili)</t>
  </si>
  <si>
    <t>16.29.20</t>
  </si>
  <si>
    <t>Fabbricazione dei prodotti della lavorazione del sughero</t>
  </si>
  <si>
    <t>16.29.30</t>
  </si>
  <si>
    <t>Fabbricazione di articoli in paglia e materiali da intreccio</t>
  </si>
  <si>
    <t>16.29.40</t>
  </si>
  <si>
    <t>Laboratori di corniciai</t>
  </si>
  <si>
    <t>17.11.00</t>
  </si>
  <si>
    <t>Fabbricazione di pasta-carta</t>
  </si>
  <si>
    <t>17.12.00</t>
  </si>
  <si>
    <t>Fabbricazione di carta e cartone</t>
  </si>
  <si>
    <t>17.21.00</t>
  </si>
  <si>
    <t>Fabbricazione di carta e cartone ondulato e di imballaggi di carta e cartone (esclusi quelli in carta pressata)</t>
  </si>
  <si>
    <t>17.22.00</t>
  </si>
  <si>
    <t>Fabbricazione di prodotti igienico-sanitari e per uso domestico in carta e ovatta di cellulosa</t>
  </si>
  <si>
    <t>17.23.01</t>
  </si>
  <si>
    <t>Fabbricazione di prodotti cartotecnici scolastici e commerciali quando l'attività di stampa non è la principale caratteristica</t>
  </si>
  <si>
    <t>17.23.09</t>
  </si>
  <si>
    <t>Fabbricazione di altri prodotti cartotecnici</t>
  </si>
  <si>
    <t>17.24.00</t>
  </si>
  <si>
    <t>Fabbricazione di carta da parati</t>
  </si>
  <si>
    <t>17.29.00</t>
  </si>
  <si>
    <t>Fabbricazione di altri articoli di carta e cartone</t>
  </si>
  <si>
    <t>18.11.00</t>
  </si>
  <si>
    <t>Stampa di giornali</t>
  </si>
  <si>
    <t>18.12.00</t>
  </si>
  <si>
    <t>Altra stampa</t>
  </si>
  <si>
    <t>18.13.00</t>
  </si>
  <si>
    <t>Lavorazioni preliminari alla stampa e ai media</t>
  </si>
  <si>
    <t>18.14.00</t>
  </si>
  <si>
    <t>Legatoria e servizi connessi</t>
  </si>
  <si>
    <t>18.20.00</t>
  </si>
  <si>
    <t>Riproduzione di supporti registrati</t>
  </si>
  <si>
    <t>19.10.01</t>
  </si>
  <si>
    <t>Fabbricazione di pece e coke di pece</t>
  </si>
  <si>
    <t>19.10.09</t>
  </si>
  <si>
    <t>Fabbricazione di altri prodotti di cokeria</t>
  </si>
  <si>
    <t>19.20.10</t>
  </si>
  <si>
    <t>Raffinerie di petrolio</t>
  </si>
  <si>
    <t>19.20.20</t>
  </si>
  <si>
    <t>Preparazione o miscelazione di derivati del petrolio (esclusa la petrolchimica)</t>
  </si>
  <si>
    <t>19.20.30</t>
  </si>
  <si>
    <t>Miscelazione di gas petroliferi liquefatti (GPL) e loro imbottigliamento</t>
  </si>
  <si>
    <t>19.20.40</t>
  </si>
  <si>
    <t>Fabbricazione di emulsioni di bitume, di catrame e di leganti per uso stradale</t>
  </si>
  <si>
    <t>19.20.90</t>
  </si>
  <si>
    <t>Fabbricazione di altri prodotti petroliferi raffinati</t>
  </si>
  <si>
    <t>20.11.00</t>
  </si>
  <si>
    <t>Fabbricazione di gas industriali</t>
  </si>
  <si>
    <t>20.12.00</t>
  </si>
  <si>
    <t>Fabbricazione di coloranti e pigmenti</t>
  </si>
  <si>
    <t>20.13.01</t>
  </si>
  <si>
    <t>Fabbricazione di uranio e torio arricchito</t>
  </si>
  <si>
    <t>20.13.09</t>
  </si>
  <si>
    <t>Fabbricazione di altri prodotti chimici di base inorganici</t>
  </si>
  <si>
    <t>20.14.01</t>
  </si>
  <si>
    <t>Fabbricazione di alcol etilico da materiali fermentati</t>
  </si>
  <si>
    <t>20.14.09</t>
  </si>
  <si>
    <t>Fabbricazione di altri prodotti chimici di base organici n.c.a.</t>
  </si>
  <si>
    <t>20.15.00</t>
  </si>
  <si>
    <t>Fabbricazione di fertilizzanti e composti azotati (esclusa la fabbricazione di compost)</t>
  </si>
  <si>
    <t>20.16.00</t>
  </si>
  <si>
    <t>Fabbricazione di materie plastiche in forme primarie</t>
  </si>
  <si>
    <t>20.17.00</t>
  </si>
  <si>
    <t>Fabbricazione di gomma sintetica in forme primarie</t>
  </si>
  <si>
    <t>20.20.00</t>
  </si>
  <si>
    <t>Fabbricazione di agrofarmaci e di altri prodotti chimici per l'agricoltura (esclusi i concimi)</t>
  </si>
  <si>
    <t>20.30.00</t>
  </si>
  <si>
    <t>Fabbricazione di pitture, vernici e smalti, inchiostri da stampa e adesivi sintetici (mastici)</t>
  </si>
  <si>
    <t>20.41.10</t>
  </si>
  <si>
    <t>Fabbricazione di saponi, detergenti e di agenti organici tensioattivi (esclusi i prodotti per toletta)</t>
  </si>
  <si>
    <t>20.41.20</t>
  </si>
  <si>
    <t>Fabbricazione di specialità chimiche per uso domestico e per manutenzione</t>
  </si>
  <si>
    <t>20.42.00</t>
  </si>
  <si>
    <t>Fabbricazione di prodotti per toletta: profumi, cosmetici, saponi e simili</t>
  </si>
  <si>
    <t>20.51.01</t>
  </si>
  <si>
    <t>Fabbricazione di fiammiferi</t>
  </si>
  <si>
    <t>20.51.02</t>
  </si>
  <si>
    <t>Fabbricazione di articoli esplosivi</t>
  </si>
  <si>
    <t>20.52.00</t>
  </si>
  <si>
    <t>Fabbricazione di colle</t>
  </si>
  <si>
    <t>20.53.00</t>
  </si>
  <si>
    <t>Fabbricazione di oli essenziali</t>
  </si>
  <si>
    <t>20.59.10</t>
  </si>
  <si>
    <t>Fabbricazione di prodotti chimici per uso fotografico</t>
  </si>
  <si>
    <t>20.59.20</t>
  </si>
  <si>
    <t>Fabbricazione di prodotti chimici organici ottenuti da prodotti di base derivati da processi di fermentazione o da materie prime vegetali</t>
  </si>
  <si>
    <t>20.59.30</t>
  </si>
  <si>
    <t>Trattamento chimico degli acidi grassi</t>
  </si>
  <si>
    <t>20.59.40</t>
  </si>
  <si>
    <t>Fabbricazione di prodotti chimici vari per uso industriale (inclusi i preparati antidetonanti e antigelo)</t>
  </si>
  <si>
    <t>20.59.50</t>
  </si>
  <si>
    <t>Fabbricazione di prodotti chimici impiegati per ufficio e per il consumo non industriale</t>
  </si>
  <si>
    <t>20.59.60</t>
  </si>
  <si>
    <t>Fabbricazione di prodotti ausiliari per le industrie tessili e del cuoio</t>
  </si>
  <si>
    <t>20.59.70</t>
  </si>
  <si>
    <t>Fabbricazione di prodotti elettrochimici (esclusa produzione di cloro, soda e potassa) ed elettrotermici</t>
  </si>
  <si>
    <t>20.59.90</t>
  </si>
  <si>
    <t>Fabbricazione di altri prodotti chimici n.c.a.</t>
  </si>
  <si>
    <t>20.60.00</t>
  </si>
  <si>
    <t>Fabbricazione di fibre sintetiche e artificiali</t>
  </si>
  <si>
    <t>21.10.00</t>
  </si>
  <si>
    <t>Fabbricazione di prodotti farmaceutici di base</t>
  </si>
  <si>
    <t>21.20.01</t>
  </si>
  <si>
    <t>Fabbricazione di sostanze diagnostiche radioattive in vivo</t>
  </si>
  <si>
    <t>21.20.09</t>
  </si>
  <si>
    <t>Fabbricazione di medicinali ed altri preparati farmaceutici</t>
  </si>
  <si>
    <t>22.11.10</t>
  </si>
  <si>
    <t>Fabbricazione di pneumatici e di camere d'aria</t>
  </si>
  <si>
    <t>22.11.20</t>
  </si>
  <si>
    <t>Rigenerazione e ricostruzione di pneumatici</t>
  </si>
  <si>
    <t>22.19.01</t>
  </si>
  <si>
    <t>Fabbricazione di suole di gomma e altre parti in gomma per calzature</t>
  </si>
  <si>
    <t>22.19.09</t>
  </si>
  <si>
    <t>Fabbricazione di altri prodotti in gomma n.c.a.</t>
  </si>
  <si>
    <t>22.21.00</t>
  </si>
  <si>
    <t>Fabbricazione di lastre, fogli, tubi e profilati in materie plastiche</t>
  </si>
  <si>
    <t>22.22.00</t>
  </si>
  <si>
    <t>Fabbricazione di imballaggi in materie plastiche</t>
  </si>
  <si>
    <t>22.23.01</t>
  </si>
  <si>
    <t>Fabbricazione di rivestimenti elastici per pavimenti (vinile, linoleum eccetera)</t>
  </si>
  <si>
    <t>22.23.02</t>
  </si>
  <si>
    <t>Fabbricazione di porte, finestre, intelaiature eccetera in plastica per l'edilizia</t>
  </si>
  <si>
    <t>22.23.09</t>
  </si>
  <si>
    <t>Fabbricazione di altri articoli in plastica per l'edilizia</t>
  </si>
  <si>
    <t>22.29.01</t>
  </si>
  <si>
    <t>Fabbricazione di parti in plastica per calzature</t>
  </si>
  <si>
    <t>22.29.02</t>
  </si>
  <si>
    <t>Fabbricazione di oggetti per l'ufficio e la scuola in plastica</t>
  </si>
  <si>
    <t>22.29.09</t>
  </si>
  <si>
    <t>Fabbricazione di altri articoli in materie plastiche n.c.a.</t>
  </si>
  <si>
    <t>23.11.00</t>
  </si>
  <si>
    <t>Fabbricazione di vetro piano</t>
  </si>
  <si>
    <t>23.12.00</t>
  </si>
  <si>
    <t>Lavorazione e trasformazione del vetro piano</t>
  </si>
  <si>
    <t>23.13.00</t>
  </si>
  <si>
    <t>Fabbricazione di vetro cavo</t>
  </si>
  <si>
    <t>23.14.00</t>
  </si>
  <si>
    <t>Fabbricazione di fibre di vetro</t>
  </si>
  <si>
    <t>23.19.10</t>
  </si>
  <si>
    <t>Fabbricazione di vetrerie per laboratori, per uso igienico, per farmacia</t>
  </si>
  <si>
    <t>23.19.20</t>
  </si>
  <si>
    <t>Lavorazione di vetro a mano e a soffio artistico</t>
  </si>
  <si>
    <t>23.19.90</t>
  </si>
  <si>
    <t>Fabbricazione di altri prodotti in vetro (inclusa la vetreria tecnica)</t>
  </si>
  <si>
    <t>23.20.00</t>
  </si>
  <si>
    <t>Fabbricazione di prodotti refrattari</t>
  </si>
  <si>
    <t>23.31.00</t>
  </si>
  <si>
    <t>Fabbricazione di piastrelle in ceramica per pavimenti e rivestimenti</t>
  </si>
  <si>
    <t>23.32.00</t>
  </si>
  <si>
    <t>Fabbricazione di mattoni, tegole ed altri prodotti per l'edilizia in terracotta</t>
  </si>
  <si>
    <t>23.41.00</t>
  </si>
  <si>
    <t>Fabbricazione di prodotti in ceramica per usi domestici e ornamentali</t>
  </si>
  <si>
    <t>23.42.00</t>
  </si>
  <si>
    <t>Fabbricazione di articoli sanitari in ceramica</t>
  </si>
  <si>
    <t>23.43.00</t>
  </si>
  <si>
    <t>Fabbricazione di isolatori e di pezzi isolanti in ceramica</t>
  </si>
  <si>
    <t>23.44.00</t>
  </si>
  <si>
    <t>Fabbricazione di altri prodotti in ceramica per uso tecnico e industriale</t>
  </si>
  <si>
    <t>23.49.00</t>
  </si>
  <si>
    <t>Fabbricazione di altri prodotti in ceramica</t>
  </si>
  <si>
    <t>23.51.00</t>
  </si>
  <si>
    <t>Produzione di cemento</t>
  </si>
  <si>
    <t>23.52.10</t>
  </si>
  <si>
    <t>Produzione di calce</t>
  </si>
  <si>
    <t>23.52.20</t>
  </si>
  <si>
    <t>Produzione di gesso</t>
  </si>
  <si>
    <t>23.61.00</t>
  </si>
  <si>
    <t>Fabbricazione di prodotti in calcestruzzo per l'edilizia</t>
  </si>
  <si>
    <t>23.62.00</t>
  </si>
  <si>
    <t>Fabbricazione di prodotti in gesso per l'edilizia</t>
  </si>
  <si>
    <t>23.63.00</t>
  </si>
  <si>
    <t>Produzione di calcestruzzo pronto per l'uso</t>
  </si>
  <si>
    <t>23.64.00</t>
  </si>
  <si>
    <t>Produzione di malta</t>
  </si>
  <si>
    <t>23.65.00</t>
  </si>
  <si>
    <t>Fabbricazione di prodotti in fibrocemento</t>
  </si>
  <si>
    <t>23.69.00</t>
  </si>
  <si>
    <t>Fabbricazione di altri prodotti in calcestruzzo, gesso e cemento</t>
  </si>
  <si>
    <t>23.70.10</t>
  </si>
  <si>
    <t>Segagione e lavorazione delle pietre e del marmo</t>
  </si>
  <si>
    <t>23.70.20</t>
  </si>
  <si>
    <t>Lavorazione artistica del marmo e di altre pietre affini, lavori in mosaico</t>
  </si>
  <si>
    <t>23.70.30</t>
  </si>
  <si>
    <t>Frantumazione di pietre e minerali vari non in connessione con l'estrazione</t>
  </si>
  <si>
    <t>23.91.00</t>
  </si>
  <si>
    <t>Produzione di prodotti abrasivi</t>
  </si>
  <si>
    <t>23.99.00</t>
  </si>
  <si>
    <t>Fabbricazione di altri prodotti in minerali non metalliferi n.c.a.</t>
  </si>
  <si>
    <t>24.10.00</t>
  </si>
  <si>
    <t>Siderurgia - Fabbricazione di ferro, acciaio e ferroleghe</t>
  </si>
  <si>
    <t>24.20.10</t>
  </si>
  <si>
    <t>Fabbricazione di tubi e condotti senza saldatura</t>
  </si>
  <si>
    <t>24.20.20</t>
  </si>
  <si>
    <t>Fabbricazione di tubi e condotti saldati e simili</t>
  </si>
  <si>
    <t>24.31.00</t>
  </si>
  <si>
    <t>Stiratura a freddo di barre</t>
  </si>
  <si>
    <t>24.32.00</t>
  </si>
  <si>
    <t>Laminazione a freddo di nastri</t>
  </si>
  <si>
    <t>24.33.01</t>
  </si>
  <si>
    <t>Fabbricazione di pannelli stratificati in acciaio</t>
  </si>
  <si>
    <t>24.33.02</t>
  </si>
  <si>
    <t>Profilatura mediante formatura o piegatura a freddo</t>
  </si>
  <si>
    <t>24.33.03</t>
  </si>
  <si>
    <t>Presagomatura dell'acciaio per cemento armato</t>
  </si>
  <si>
    <t>24.34.00</t>
  </si>
  <si>
    <t>Trafilatura a freddo</t>
  </si>
  <si>
    <t>24.41.00</t>
  </si>
  <si>
    <t>Produzione di metalli preziosi e semilavorati</t>
  </si>
  <si>
    <t>24.42.00</t>
  </si>
  <si>
    <t>Produzione di alluminio e semilavorati</t>
  </si>
  <si>
    <t>24.43.00</t>
  </si>
  <si>
    <t>Produzione di piombo, zinco e stagno e semilavorati</t>
  </si>
  <si>
    <t>24.44.00</t>
  </si>
  <si>
    <t>Produzione di rame e semilavorati</t>
  </si>
  <si>
    <t>24.45.00</t>
  </si>
  <si>
    <t>Produzione di altri metalli non ferrosi e semilavorati</t>
  </si>
  <si>
    <t>24.46.00</t>
  </si>
  <si>
    <t>Trattamento dei combustibili nucleari (escluso l'arricchimento di uranio e torio)</t>
  </si>
  <si>
    <t>24.51.00</t>
  </si>
  <si>
    <t>Fusione di ghisa e produzione di tubi e raccordi in ghisa</t>
  </si>
  <si>
    <t>24.52.00</t>
  </si>
  <si>
    <t>Fusione di acciaio</t>
  </si>
  <si>
    <t>24.53.00</t>
  </si>
  <si>
    <t>Fusione di metalli leggeri</t>
  </si>
  <si>
    <t>24.54.00</t>
  </si>
  <si>
    <t>Fusione di altri metalli non ferrosi</t>
  </si>
  <si>
    <t>25.11.00</t>
  </si>
  <si>
    <t>Fabbricazione di strutture metalliche e parti assemblate di strutture</t>
  </si>
  <si>
    <t>25.12.10</t>
  </si>
  <si>
    <t>Fabbricazione di porte, finestre e loro telai, imposte e cancelli metallici</t>
  </si>
  <si>
    <t>25.12.20</t>
  </si>
  <si>
    <t>Fabbricazione di strutture metalliche per tende da sole, tende alla veneziana e simili</t>
  </si>
  <si>
    <t>25.21.00</t>
  </si>
  <si>
    <t>Fabbricazione di radiatori e contenitori in metallo per caldaie per il riscaldamento centrale</t>
  </si>
  <si>
    <t>25.29.00</t>
  </si>
  <si>
    <t>Fabbricazione di cisterne, serbatoi e contenitori in metallo per impieghi di stoccaggio o di produzione</t>
  </si>
  <si>
    <t>25.30.00</t>
  </si>
  <si>
    <t>Fabbricazione di generatori di vapore (esclusi i contenitori in metallo per caldaie per il riscaldamento centrale ad acqua calda)</t>
  </si>
  <si>
    <t>25.40.00</t>
  </si>
  <si>
    <t>Fabbricazione di armi e munizioni</t>
  </si>
  <si>
    <t>25.50.00</t>
  </si>
  <si>
    <t>Fucinatura, imbutitura, stampaggio e profilatura dei metalli; metallurgia delle polveri</t>
  </si>
  <si>
    <t>25.61.00</t>
  </si>
  <si>
    <t>Trattamento e rivestimento dei metalli</t>
  </si>
  <si>
    <t>25.62.00</t>
  </si>
  <si>
    <t>Lavori di meccanica generale</t>
  </si>
  <si>
    <t>25.71.00</t>
  </si>
  <si>
    <t>Fabbricazione di articoli di coltelleria, posateria ed armi bianche</t>
  </si>
  <si>
    <t>25.72.00</t>
  </si>
  <si>
    <t>Fabbricazione di serrature e cerniere e ferramenta simili</t>
  </si>
  <si>
    <t>25.73.11</t>
  </si>
  <si>
    <t>Fabbricazione di utensileria ad azionamento manuale</t>
  </si>
  <si>
    <t>25.73.12</t>
  </si>
  <si>
    <t>Fabbricazione di parti intercambiabili per macchine utensili</t>
  </si>
  <si>
    <t>25.73.20</t>
  </si>
  <si>
    <t>Fabbricazione di stampi, portastampi, sagome, forme per macchine</t>
  </si>
  <si>
    <t>25.91.00</t>
  </si>
  <si>
    <t>Fabbricazione di bidoni in acciaio e contenitori analoghi per il trasporto e l'imballaggio</t>
  </si>
  <si>
    <t>25.92.00</t>
  </si>
  <si>
    <t>Fabbricazione di imballaggi leggeri in metallo</t>
  </si>
  <si>
    <t>25.93.10</t>
  </si>
  <si>
    <t>Fabbricazione di prodotti fabbricati con fili metallici</t>
  </si>
  <si>
    <t>25.93.20</t>
  </si>
  <si>
    <t>Fabbricazione di molle</t>
  </si>
  <si>
    <t>25.93.30</t>
  </si>
  <si>
    <t>Fabbricazione di catene fucinate senza saldatura e stampate</t>
  </si>
  <si>
    <t>25.94.00</t>
  </si>
  <si>
    <t>Fabbricazione di articoli di bulloneria</t>
  </si>
  <si>
    <t>25.99.11</t>
  </si>
  <si>
    <t>Fabbricazione di caraffe e bottiglie isolate in metallo</t>
  </si>
  <si>
    <t>25.99.19</t>
  </si>
  <si>
    <t>Fabbricazione di stoviglie, pentolame, vasellame, attrezzi da cucina e altri accessori casalinghi non elettrici, articoli metallici per l'arredamento di stanze da bagno</t>
  </si>
  <si>
    <t>25.99.20</t>
  </si>
  <si>
    <t>Fabbricazione di casseforti, forzieri e porte metalliche blindate</t>
  </si>
  <si>
    <t>25.99.30</t>
  </si>
  <si>
    <t>Fabbricazione di oggetti in ferro, in rame ed altri metalli</t>
  </si>
  <si>
    <t>25.99.91</t>
  </si>
  <si>
    <t>Fabbricazione di magneti metallici permanenti</t>
  </si>
  <si>
    <t>25.99.99</t>
  </si>
  <si>
    <t>Fabbricazione di altri articoli metallici e minuteria metallica n.c.a.</t>
  </si>
  <si>
    <t>26.11.01</t>
  </si>
  <si>
    <t>Fabbricazione di diodi, transistor e relativi congegni elettronici</t>
  </si>
  <si>
    <t>26.11.09</t>
  </si>
  <si>
    <t>Fabbricazione di altri componenti elettronici</t>
  </si>
  <si>
    <t>26.12.00</t>
  </si>
  <si>
    <t>Fabbricazione di schede elettroniche assemblate</t>
  </si>
  <si>
    <t>26.20.00</t>
  </si>
  <si>
    <t>Fabbricazione di computer e unità periferiche</t>
  </si>
  <si>
    <t>26.30.10</t>
  </si>
  <si>
    <t>Fabbricazione di apparecchi trasmittenti radiotelevisivi (incluse le telecamere)</t>
  </si>
  <si>
    <t>26.30.21</t>
  </si>
  <si>
    <t>Fabbricazione di sistemi antifurto e antincendio</t>
  </si>
  <si>
    <t>26.30.29</t>
  </si>
  <si>
    <t>Fabbricazione di altri apparecchi elettrici ed elettronici per telecomunicazioni</t>
  </si>
  <si>
    <t>26.40.01</t>
  </si>
  <si>
    <t>Fabbricazione di apparecchi per la riproduzione e registrazione del suono e delle immagini</t>
  </si>
  <si>
    <t>26.40.02</t>
  </si>
  <si>
    <t>Fabbricazione di console per videogiochi (esclusi i giochi elettronici)</t>
  </si>
  <si>
    <t>26.51.10</t>
  </si>
  <si>
    <t>Fabbricazione di strumenti per navigazione, idrologia, geofisica e meteorologia</t>
  </si>
  <si>
    <t>26.51.21</t>
  </si>
  <si>
    <t>Fabbricazione di rilevatori di fiamma e combustione, di mine, di movimento, generatori d'impulso e metal detector</t>
  </si>
  <si>
    <t>26.51.29</t>
  </si>
  <si>
    <t>Fabbricazione di altri apparecchi di misura e regolazione, strumenti da disegno, di contatori di elettricità, gas, acqua ed altri liquidi, di bilance analitiche di precisione (incluse parti staccate ed accessori)</t>
  </si>
  <si>
    <t>26.52.00</t>
  </si>
  <si>
    <t>Fabbricazione di orologi</t>
  </si>
  <si>
    <t>26.60.01</t>
  </si>
  <si>
    <t>Fabbricazione di apparecchiature di irradiazione per alimenti e latte</t>
  </si>
  <si>
    <t>26.60.02</t>
  </si>
  <si>
    <t>Fabbricazione di apparecchi elettromedicali (incluse parti staccate e accessori)</t>
  </si>
  <si>
    <t>26.60.09</t>
  </si>
  <si>
    <t>Fabbricazione di altri strumenti per irradiazione ed altre apparecchiature elettroterapeutiche</t>
  </si>
  <si>
    <t>26.70.11</t>
  </si>
  <si>
    <t>Fabbricazione di elementi ottici e strumenti ottici di precisione</t>
  </si>
  <si>
    <t>26.70.12</t>
  </si>
  <si>
    <t>Fabbricazione di attrezzature ottiche di misurazione e controllo</t>
  </si>
  <si>
    <t>26.70.20</t>
  </si>
  <si>
    <t>Fabbricazione di apparecchiature fotografiche e cinematografiche</t>
  </si>
  <si>
    <t>26.80.00</t>
  </si>
  <si>
    <t>Fabbricazione di supporti magnetici ed ottici</t>
  </si>
  <si>
    <t>27.11.00</t>
  </si>
  <si>
    <t>Fabbricazione di motori, generatori e trasformatori elettrici</t>
  </si>
  <si>
    <t>27.12.00</t>
  </si>
  <si>
    <t>Fabbricazione di apparecchiature per le reti di distribuzione e il controllo dell'elettricità</t>
  </si>
  <si>
    <t>27.20.00</t>
  </si>
  <si>
    <t>Fabbricazione di batterie di pile ed accumulatori elettrici</t>
  </si>
  <si>
    <t>27.31.01</t>
  </si>
  <si>
    <t>Fabbricazione di cavi a fibra ottica per la trasmissione di dati o di immagini</t>
  </si>
  <si>
    <t>27.31.02</t>
  </si>
  <si>
    <t>Fabbricazione di fibre ottiche</t>
  </si>
  <si>
    <t>27.32.00</t>
  </si>
  <si>
    <t>Fabbricazione di altri fili e cavi elettrici ed elettronici</t>
  </si>
  <si>
    <t>27.33.01</t>
  </si>
  <si>
    <t>Fabbricazione di apparecchiature in plastica non conduttiva</t>
  </si>
  <si>
    <t>27.33.09</t>
  </si>
  <si>
    <t>Fabbricazione di altre attrezzature per cablaggio</t>
  </si>
  <si>
    <t>27.40.01</t>
  </si>
  <si>
    <t>Fabbricazione di apparecchiature di illuminazione e segnalazione per mezzi di trasporto</t>
  </si>
  <si>
    <t>27.40.02</t>
  </si>
  <si>
    <t>Fabbricazione di luminarie per feste</t>
  </si>
  <si>
    <t>27.40.09</t>
  </si>
  <si>
    <t>Fabbricazione di altre apparecchiature per illuminazione</t>
  </si>
  <si>
    <t>27.51.00</t>
  </si>
  <si>
    <t>Fabbricazione di elettrodomestici</t>
  </si>
  <si>
    <t>27.52.00</t>
  </si>
  <si>
    <t>Fabbricazione di apparecchi per uso domestico non elettrici</t>
  </si>
  <si>
    <t>27.90.01</t>
  </si>
  <si>
    <t>Fabbricazione di apparecchiature elettriche per saldature e brasature</t>
  </si>
  <si>
    <t>27.90.02</t>
  </si>
  <si>
    <t>Fabbricazione di insegne elettriche e apparecchiature elettriche di segnalazione</t>
  </si>
  <si>
    <t>27.90.03</t>
  </si>
  <si>
    <t>Fabbricazione di capacitori elettrici, resistenze, condensatori e simili, acceleratori</t>
  </si>
  <si>
    <t>27.90.09</t>
  </si>
  <si>
    <t>Fabbricazione di altre apparecchiature elettriche n.c.a.</t>
  </si>
  <si>
    <t>28.11.11</t>
  </si>
  <si>
    <t>Fabbricazione di motori a combustione interna (esclusi i motori destinati ai mezzi di trasporto su strada e ad aeromobili)</t>
  </si>
  <si>
    <t>28.11.12</t>
  </si>
  <si>
    <t>Fabbricazione di pistoni, fasce elastiche, carburatori e parti simili di motori a combustione interna</t>
  </si>
  <si>
    <t>28.11.20</t>
  </si>
  <si>
    <t>Fabbricazione di turbine e turboalternatori (incluse parti e accessori)</t>
  </si>
  <si>
    <t>28.12.00</t>
  </si>
  <si>
    <t>Fabbricazione di apparecchiature fluidodinamiche</t>
  </si>
  <si>
    <t>28.13.00</t>
  </si>
  <si>
    <t>Fabbricazione di altre pompe e compressori</t>
  </si>
  <si>
    <t>28.14.00</t>
  </si>
  <si>
    <t>Fabbricazione di altri rubinetti e valvole</t>
  </si>
  <si>
    <t>28.15.10</t>
  </si>
  <si>
    <t>Fabbricazione di organi di trasmissione (esclusi quelli idraulici e quelli per autoveicoli, aeromobili e motocicli)</t>
  </si>
  <si>
    <t>28.15.20</t>
  </si>
  <si>
    <t>Fabbricazione di cuscinetti a sfere</t>
  </si>
  <si>
    <t>28.21.10</t>
  </si>
  <si>
    <t>Fabbricazione di forni, fornaci e bruciatori</t>
  </si>
  <si>
    <t>28.21.21</t>
  </si>
  <si>
    <t>Fabbricazione di caldaie per riscaldamento</t>
  </si>
  <si>
    <t>28.21.29</t>
  </si>
  <si>
    <t>Fabbricazione di altri sistemi per riscaldamento</t>
  </si>
  <si>
    <t>28.22.01</t>
  </si>
  <si>
    <t>Fabbricazione di ascensori, montacarichi e scale mobili</t>
  </si>
  <si>
    <t>28.22.02</t>
  </si>
  <si>
    <t>Fabbricazione di gru, argani, verricelli a mano e a motore, carrelli trasbordatori, carrelli elevatori e piattaforme girevoli</t>
  </si>
  <si>
    <t>28.22.03</t>
  </si>
  <si>
    <t>Fabbricazione di carriole</t>
  </si>
  <si>
    <t>28.22.09</t>
  </si>
  <si>
    <t>Fabbricazione di altre macchine e apparecchi di sollevamento e movimentazione</t>
  </si>
  <si>
    <t>28.23.01</t>
  </si>
  <si>
    <t>Fabbricazione di cartucce toner</t>
  </si>
  <si>
    <t>28.23.09</t>
  </si>
  <si>
    <t>Fabbricazione di macchine ed altre attrezzature per ufficio (esclusi computer e periferiche)</t>
  </si>
  <si>
    <t>28.24.00</t>
  </si>
  <si>
    <t>Fabbricazione di utensili portatili a motore</t>
  </si>
  <si>
    <t>28.25.00</t>
  </si>
  <si>
    <t>Fabbricazione di attrezzature di uso non domestico per la refrigerazione e la ventilazione; fabbricazione di condizionatori domestici fissi</t>
  </si>
  <si>
    <t>28.29.10</t>
  </si>
  <si>
    <t>Fabbricazione di bilance e di macchine automatiche per la vendita e la distribuzione (incluse parti staccate e accessori)</t>
  </si>
  <si>
    <t>28.29.20</t>
  </si>
  <si>
    <t>Fabbricazione di macchine e apparecchi per le industrie chimiche, petrolchimiche e petrolifere (incluse parti e accessori)</t>
  </si>
  <si>
    <t>28.29.30</t>
  </si>
  <si>
    <t>Fabbricazione di macchine automatiche per la dosatura, la confezione e per l'imballaggio (incluse parti e accessori)</t>
  </si>
  <si>
    <t>28.29.91</t>
  </si>
  <si>
    <t>Fabbricazione di apparecchi per depurare e filtrare liquidi e gas per uso non domestico</t>
  </si>
  <si>
    <t>28.29.92</t>
  </si>
  <si>
    <t>Fabbricazione di macchine per la pulizia (incluse le lavastoviglie) per uso non domestico</t>
  </si>
  <si>
    <t>28.29.93</t>
  </si>
  <si>
    <t>Fabbricazione di livelle, metri doppi a nastro e utensili simili, strumenti di precisione per meccanica (esclusi quelli ottici)</t>
  </si>
  <si>
    <t>28.29.99</t>
  </si>
  <si>
    <t>Fabbricazione di altro materiale meccanico e di altre macchine di impiego generale n.c.a.</t>
  </si>
  <si>
    <t>28.30.10</t>
  </si>
  <si>
    <t>Fabbricazione di trattori agricoli</t>
  </si>
  <si>
    <t>28.30.90</t>
  </si>
  <si>
    <t>Fabbricazione di altre macchine per l'agricoltura, la silvicoltura e la zootecnia</t>
  </si>
  <si>
    <t>28.41.00</t>
  </si>
  <si>
    <t>Fabbricazione di macchine utensili per la formatura dei metalli (incluse parti e accessori ed escluse le parti intercambiabili)</t>
  </si>
  <si>
    <t>28.49.01</t>
  </si>
  <si>
    <t>Fabbricazione di macchine per la galvanostegia</t>
  </si>
  <si>
    <t>28.49.09</t>
  </si>
  <si>
    <t>Fabbricazione di altre macchine utensili (incluse parti e accessori) n.c.a.</t>
  </si>
  <si>
    <t>28.91.00</t>
  </si>
  <si>
    <t>Fabbricazione di macchine per la metallurgia (incluse parti e accessori)</t>
  </si>
  <si>
    <t>28.92.01</t>
  </si>
  <si>
    <t>Fabbricazione di macchine per il trasporto a cassone ribaltabile per impiego specifico in miniere, cave e cantieri</t>
  </si>
  <si>
    <t>28.92.09</t>
  </si>
  <si>
    <t>Fabbricazione di altre macchine da miniera, cava e cantiere (incluse parti e accessori)</t>
  </si>
  <si>
    <t>28.93.00</t>
  </si>
  <si>
    <t>Fabbricazione di macchine per l'industria alimentare, delle bevande e del tabacco (incluse parti e accessori)</t>
  </si>
  <si>
    <t>28.94.10</t>
  </si>
  <si>
    <t>Fabbricazione di macchine tessili, di macchine e di impianti per il trattamento ausiliario dei tessili, di macchine per cucire e per maglieria (incluse parti e accessori)</t>
  </si>
  <si>
    <t>28.94.20</t>
  </si>
  <si>
    <t>Fabbricazione di macchine e apparecchi per l'industria delle pelli, del cuoio e delle calzature (incluse parti e accessori)</t>
  </si>
  <si>
    <t>28.94.30</t>
  </si>
  <si>
    <t>Fabbricazione di apparecchiature e di macchine per lavanderie e stirerie (incluse parti e accessori)</t>
  </si>
  <si>
    <t>28.95.00</t>
  </si>
  <si>
    <t>Fabbricazione di macchine per l'industria della carta e del cartone (incluse parti e accessori)</t>
  </si>
  <si>
    <t>28.96.00</t>
  </si>
  <si>
    <t>Fabbricazione di macchine per l'industria delle materie plastiche e della gomma (incluse parti e accessori)</t>
  </si>
  <si>
    <t>28.99.10</t>
  </si>
  <si>
    <t>Fabbricazione di macchine per la stampa e la legatoria (incluse parti e accessori)</t>
  </si>
  <si>
    <t>28.99.20</t>
  </si>
  <si>
    <t>Fabbricazione di robot industriali per usi molteplici (incluse parti e accessori)</t>
  </si>
  <si>
    <t>28.99.30</t>
  </si>
  <si>
    <t>Fabbricazione di apparecchi per istituti di bellezza e centri di benessere</t>
  </si>
  <si>
    <t>28.99.91</t>
  </si>
  <si>
    <t>Fabbricazione di apparecchiature per il lancio di aeromobili, catapulte per portaerei e apparecchiature simili</t>
  </si>
  <si>
    <t>28.99.92</t>
  </si>
  <si>
    <t>Fabbricazione di giostre, altalene ed altre attrezzature per parchi di divertimento</t>
  </si>
  <si>
    <t>28.99.93</t>
  </si>
  <si>
    <t>Fabbricazione di apparecchiature per l'allineamento e il bilanciamento delle ruote; altre apparecchiature per il bilanciamento</t>
  </si>
  <si>
    <t>28.99.99</t>
  </si>
  <si>
    <t>Fabbricazione di altre macchine ed attrezzature per impieghi speciali n.c.a. (incluse parti e accessori)</t>
  </si>
  <si>
    <t>29.10.00</t>
  </si>
  <si>
    <t>Fabbricazione di autoveicoli</t>
  </si>
  <si>
    <t>29.20.00</t>
  </si>
  <si>
    <t>Fabbricazione di carrozzerie per autoveicoli, rimorchi e semirimorchi</t>
  </si>
  <si>
    <t>29.31.00</t>
  </si>
  <si>
    <t>Fabbricazione di apparecchiature elettriche ed elettroniche per autoveicoli e loro motori</t>
  </si>
  <si>
    <t>29.32.01</t>
  </si>
  <si>
    <t>Fabbricazione di sedili per autoveicoli</t>
  </si>
  <si>
    <t>29.32.09</t>
  </si>
  <si>
    <t>Fabbricazione di altre parti ed accessori per autoveicoli e loro motori n.c.a.</t>
  </si>
  <si>
    <t>30.11.01</t>
  </si>
  <si>
    <t>Fabbricazione di sedili per navi</t>
  </si>
  <si>
    <t>30.11.02</t>
  </si>
  <si>
    <t>Cantieri navali per costruzioni metalliche e non metalliche (esclusi i sedili per navi)</t>
  </si>
  <si>
    <t>30.12.00</t>
  </si>
  <si>
    <t>Costruzione di imbarcazioni da diporto e sportive</t>
  </si>
  <si>
    <t>30.20.01</t>
  </si>
  <si>
    <t>Fabbricazione di sedili per tram, filovie e metropolitane</t>
  </si>
  <si>
    <t>30.20.02</t>
  </si>
  <si>
    <t>Costruzione di altro materiale rotabile ferroviario, tranviario, filoviario, per metropolitane e per miniere</t>
  </si>
  <si>
    <t>30.30.01</t>
  </si>
  <si>
    <t>Fabbricazione di sedili per aeromobili</t>
  </si>
  <si>
    <t>30.30.02</t>
  </si>
  <si>
    <t>Fabbricazione di missili balistici</t>
  </si>
  <si>
    <t>30.30.09</t>
  </si>
  <si>
    <t>Fabbricazione di aeromobili, di veicoli spaziali e dei relativi dispositivi n.c.a.</t>
  </si>
  <si>
    <t>30.40.00</t>
  </si>
  <si>
    <t>Fabbricazione di veicoli militari da combattimento</t>
  </si>
  <si>
    <t>30.91.11</t>
  </si>
  <si>
    <t>Fabbricazione di motori per motocicli</t>
  </si>
  <si>
    <t>30.91.12</t>
  </si>
  <si>
    <t>Fabbricazione di motocicli</t>
  </si>
  <si>
    <t>30.91.20</t>
  </si>
  <si>
    <t>Fabbricazione di accessori e pezzi staccati per motocicli e ciclomotori</t>
  </si>
  <si>
    <t>30.92.10</t>
  </si>
  <si>
    <t>Fabbricazione e montaggio di biciclette</t>
  </si>
  <si>
    <t>30.92.20</t>
  </si>
  <si>
    <t>Fabbricazione di parti ed accessori per biciclette</t>
  </si>
  <si>
    <t>30.92.30</t>
  </si>
  <si>
    <t>Fabbricazione di veicoli per invalidi (incluse parti e accessori)</t>
  </si>
  <si>
    <t>30.92.40</t>
  </si>
  <si>
    <t>Fabbricazione di carrozzine e passeggini per neonati</t>
  </si>
  <si>
    <t>30.99.00</t>
  </si>
  <si>
    <t>Fabbricazione di veicoli a trazione manuale o animale</t>
  </si>
  <si>
    <t>31.01.10</t>
  </si>
  <si>
    <t>Fabbricazione di sedie e poltrone per ufficio e negozi</t>
  </si>
  <si>
    <t>31.01.21</t>
  </si>
  <si>
    <t>Fabbricazione di altri mobili metallici per ufficio e negozi</t>
  </si>
  <si>
    <t>31.01.22</t>
  </si>
  <si>
    <t>Fabbricazione di altri mobili non metallici per ufficio e negozi</t>
  </si>
  <si>
    <t>31.02.00</t>
  </si>
  <si>
    <t>Fabbricazione di mobili per cucina</t>
  </si>
  <si>
    <t>31.03.00</t>
  </si>
  <si>
    <t>Fabbricazione di materassi</t>
  </si>
  <si>
    <t>31.09.10</t>
  </si>
  <si>
    <t>Fabbricazione di mobili per arredo domestico</t>
  </si>
  <si>
    <t>31.09.20</t>
  </si>
  <si>
    <t>Fabbricazione di sedie e sedili (esclusi quelli per aeromobili, autoveicoli, navi, treni, ufficio e negozi)</t>
  </si>
  <si>
    <t>31.09.30</t>
  </si>
  <si>
    <t>Fabbricazione di poltrone e divani</t>
  </si>
  <si>
    <t>31.09.40</t>
  </si>
  <si>
    <t>Fabbricazione di parti e accessori di mobili</t>
  </si>
  <si>
    <t>31.09.50</t>
  </si>
  <si>
    <t>Finitura di mobili</t>
  </si>
  <si>
    <t>31.09.90</t>
  </si>
  <si>
    <t>Fabbricazione di altri mobili (inclusi quelli per arredo esterno)</t>
  </si>
  <si>
    <t>32.11.00</t>
  </si>
  <si>
    <t>Coniazione di monete</t>
  </si>
  <si>
    <t>32.12.10</t>
  </si>
  <si>
    <t>Fabbricazione di oggetti di gioielleria ed oreficeria in metalli preziosi o rivestiti di metalli preziosi</t>
  </si>
  <si>
    <t>32.12.20</t>
  </si>
  <si>
    <t>Lavorazione di pietre preziose e semipreziose per gioielleria e per uso industriale</t>
  </si>
  <si>
    <t>32.13.01</t>
  </si>
  <si>
    <t>Fabbricazione di cinturini metallici per orologi (esclusi quelli in metalli preziosi)</t>
  </si>
  <si>
    <t>32.13.09</t>
  </si>
  <si>
    <t>Fabbricazione di bigiotteria e articoli simili n.c.a.</t>
  </si>
  <si>
    <t>32.20.00</t>
  </si>
  <si>
    <t>Fabbricazione di strumenti musicali (incluse parti e accessori)</t>
  </si>
  <si>
    <t>32.30.00</t>
  </si>
  <si>
    <t>Fabbricazione di articoli sportivi</t>
  </si>
  <si>
    <t>32.40.10</t>
  </si>
  <si>
    <t>Fabbricazione di giochi (inclusi i giochi elettronici)</t>
  </si>
  <si>
    <t>32.40.20</t>
  </si>
  <si>
    <t>Fabbricazione di giocattoli (inclusi i tricicli e gli strumenti musicali giocattolo)</t>
  </si>
  <si>
    <t>32.50.11</t>
  </si>
  <si>
    <t>Fabbricazione di materiale medico-chirurgico e veterinario</t>
  </si>
  <si>
    <t>32.50.12</t>
  </si>
  <si>
    <t>Fabbricazione di apparecchi e strumenti per odontoiatria e di apparecchi medicali (incluse parti staccate e accessori)</t>
  </si>
  <si>
    <t>32.50.13</t>
  </si>
  <si>
    <t>Fabbricazione di mobili per uso medico, chirurgico, odontoiatrico e veterinario</t>
  </si>
  <si>
    <t>32.50.14</t>
  </si>
  <si>
    <t>Fabbricazione di centrifughe per laboratori</t>
  </si>
  <si>
    <t>32.50.20</t>
  </si>
  <si>
    <t>Fabbricazione di protesi dentarie (inclusa riparazione)</t>
  </si>
  <si>
    <t>32.50.30</t>
  </si>
  <si>
    <t>Fabbricazione di protesi ortopediche, altre protesi ed ausili (inclusa riparazione)</t>
  </si>
  <si>
    <t>32.50.40</t>
  </si>
  <si>
    <t>Fabbricazione di lenti oftalmiche</t>
  </si>
  <si>
    <t>32.50.50</t>
  </si>
  <si>
    <t>Fabbricazione di armature per occhiali di qualsiasi tipo; montatura in serie di occhiali comuni</t>
  </si>
  <si>
    <t>32.91.00</t>
  </si>
  <si>
    <t>Fabbricazione di scope e spazzole</t>
  </si>
  <si>
    <t>32.99.11</t>
  </si>
  <si>
    <t>Fabbricazione di articoli di vestiario ignifughi e protettivi di sicurezza</t>
  </si>
  <si>
    <t>32.99.12</t>
  </si>
  <si>
    <t>Fabbricazione di articoli in plastica per la sicurezza personale</t>
  </si>
  <si>
    <t>32.99.13</t>
  </si>
  <si>
    <t>Fabbricazione di articoli in metallo per la sicurezza personale</t>
  </si>
  <si>
    <t>32.99.14</t>
  </si>
  <si>
    <t>Fabbricazione di maschere antigas</t>
  </si>
  <si>
    <t>32.99.19</t>
  </si>
  <si>
    <t>Fabbricazione di altre attrezzature ed altri articoli protettivi di sicurezza</t>
  </si>
  <si>
    <t>32.99.20</t>
  </si>
  <si>
    <t>Fabbricazione di ombrelli, bottoni, chiusure lampo, parrucche e affini</t>
  </si>
  <si>
    <t>32.99.30</t>
  </si>
  <si>
    <t>Fabbricazione di oggetti di cancelleria</t>
  </si>
  <si>
    <t>32.99.40</t>
  </si>
  <si>
    <t>Fabbricazione di casse funebri</t>
  </si>
  <si>
    <t>32.99.90</t>
  </si>
  <si>
    <t>Fabbricazione di altri articoli n.c.a.</t>
  </si>
  <si>
    <t>33.11.01</t>
  </si>
  <si>
    <t>Riparazione e manutenzione di stampi, portastampi, sagome, forme per macchine</t>
  </si>
  <si>
    <t>33.11.02</t>
  </si>
  <si>
    <t>Riparazione e manutenzione di utensileria ad azionamento manuale</t>
  </si>
  <si>
    <t>33.11.03</t>
  </si>
  <si>
    <t>Riparazione e manutenzione di armi, sistemi d'arma e munizioni</t>
  </si>
  <si>
    <t>33.11.04</t>
  </si>
  <si>
    <t>Riparazione e manutenzione di casseforti, forzieri, porte metalliche blindate</t>
  </si>
  <si>
    <t>33.11.05</t>
  </si>
  <si>
    <t>Riparazione e manutenzione di armi bianche</t>
  </si>
  <si>
    <t>33.11.06</t>
  </si>
  <si>
    <t>Riparazione e manutenzione di container</t>
  </si>
  <si>
    <t>33.11.07</t>
  </si>
  <si>
    <t>Riparazione e manutenzione di carrelli per la spesa</t>
  </si>
  <si>
    <t>33.11.09</t>
  </si>
  <si>
    <t>Riparazione e manutenzione di altri prodotti in metallo</t>
  </si>
  <si>
    <t>33.12.10</t>
  </si>
  <si>
    <t>Riparazione e manutenzione di macchine di impiego generale</t>
  </si>
  <si>
    <t>33.12.20</t>
  </si>
  <si>
    <t>Riparazione e manutenzione di forni, fornaci e bruciatori</t>
  </si>
  <si>
    <t>33.12.30</t>
  </si>
  <si>
    <t>Riparazione e manutenzione di macchine e apparecchi di sollevamento e movimentazione (esclusi ascensori)</t>
  </si>
  <si>
    <t>33.12.40</t>
  </si>
  <si>
    <t>Riparazione e manutenzione di attrezzature di uso non domestico per la refrigerazione e la ventilazione</t>
  </si>
  <si>
    <t>33.12.51</t>
  </si>
  <si>
    <t>Riparazione e manutenzione di macchine ed attrezzature per ufficio (esclusi computer, periferiche, fax)</t>
  </si>
  <si>
    <t>33.12.52</t>
  </si>
  <si>
    <t>Riparazione e manutenzione di bilance e macchine automatiche per la vendita e la distribuzione</t>
  </si>
  <si>
    <t>33.12.53</t>
  </si>
  <si>
    <t>Riparazione e manutenzione di macchine per le industrie chimiche, petrolchimiche e petrolifere</t>
  </si>
  <si>
    <t>33.12.54</t>
  </si>
  <si>
    <t>Riparazione e manutenzione di macchine per la dosatura, la confezione e l'imballaggio</t>
  </si>
  <si>
    <t>33.12.55</t>
  </si>
  <si>
    <t>Riparazione e manutenzione di estintori (inclusa la ricarica)</t>
  </si>
  <si>
    <t>33.12.59</t>
  </si>
  <si>
    <t>Riparazione e manutenzione di altre macchine di impiego generale n.c.a.</t>
  </si>
  <si>
    <t>33.12.60</t>
  </si>
  <si>
    <t>Riparazione e manutenzione di trattori agricoli</t>
  </si>
  <si>
    <t>33.12.70</t>
  </si>
  <si>
    <t>Riparazione e manutenzione di altre macchine per l'agricoltura, la silvicoltura e la zootecnia</t>
  </si>
  <si>
    <t>33.12.91</t>
  </si>
  <si>
    <t>Riparazione e manutenzione di parti intercambiabili per macchine utensili</t>
  </si>
  <si>
    <t>33.12.92</t>
  </si>
  <si>
    <t>Riparazione e manutenzione di giostre, altalene, padiglioni da tiro al bersaglio ed altre attrezzature per parchi di divertimento</t>
  </si>
  <si>
    <t>33.12.99</t>
  </si>
  <si>
    <t>Riparazione e manutenzione di altre macchine per impieghi speciali n.c.a. (incluse le macchine utensili)</t>
  </si>
  <si>
    <t>33.13.01</t>
  </si>
  <si>
    <t>Riparazione e manutenzione di apparecchiature ottiche, fotografiche e cinematografiche (escluse videocamere)</t>
  </si>
  <si>
    <t>33.13.03</t>
  </si>
  <si>
    <t>Riparazione e manutenzione di apparecchi elettromedicali, di materiale medico-chirurgico e veterinario, di apparecchi e strumenti per odontoiatria</t>
  </si>
  <si>
    <t>33.13.04</t>
  </si>
  <si>
    <t>Riparazione e manutenzione di apparati di distillazione per laboratori, di centrifughe per laboratori e di macchinari per pulizia ad ultrasuoni per laboratori</t>
  </si>
  <si>
    <t>33.13.09</t>
  </si>
  <si>
    <t>Riparazione e manutenzione di altre apparecchiature elettroniche (escluse quelle per le telecomunicazioni ed i computer)</t>
  </si>
  <si>
    <t>33.14.00</t>
  </si>
  <si>
    <t>Riparazione e manutenzione di apparecchiature elettriche (esclusi gli elettrodomestici)</t>
  </si>
  <si>
    <t>33.15.00</t>
  </si>
  <si>
    <t>Riparazione e manutenzione di navi commerciali e imbarcazioni da diporto (esclusi i loro motori)</t>
  </si>
  <si>
    <t>33.16.00</t>
  </si>
  <si>
    <t>Riparazione e manutenzione di aeromobili e di veicoli spaziali</t>
  </si>
  <si>
    <t>33.17.00</t>
  </si>
  <si>
    <t>Riparazione e manutenzione di materiale rotabile ferroviario, tranviario, filoviario e per metropolitane (esclusi i loro motori)</t>
  </si>
  <si>
    <t>33.19.01</t>
  </si>
  <si>
    <t>Riparazioni di pallets e contenitori in legno per trasporto</t>
  </si>
  <si>
    <t>33.19.02</t>
  </si>
  <si>
    <t>Riparazione di prodotti in gomma</t>
  </si>
  <si>
    <t>33.19.03</t>
  </si>
  <si>
    <t>Riparazione di articoli in vetro</t>
  </si>
  <si>
    <t>33.19.04</t>
  </si>
  <si>
    <t>Riparazioni di altri prodotti in legno n.c.a.</t>
  </si>
  <si>
    <t>33.19.09</t>
  </si>
  <si>
    <t>Riparazione di altre apparecchiature n.c.a.</t>
  </si>
  <si>
    <t>33.20.01</t>
  </si>
  <si>
    <t>Installazione di motori, generatori e trasformatori elettrici; di apparecchiature per la distribuzione e il controllo dell'elettricità (esclusa l'installazione all'interno degli edifici)</t>
  </si>
  <si>
    <t>33.20.02</t>
  </si>
  <si>
    <t>Installazione di apparecchi elettrici ed elettronici per telecomunicazioni, di apparecchi trasmittenti radiotelevisivi, di impianti di apparecchiature elettriche ed elettroniche (esclusa l'installazione all'interno degli edifici)</t>
  </si>
  <si>
    <t>33.20.03</t>
  </si>
  <si>
    <t>Installazione di strumenti ed apparecchi di misurazione, controllo, prova, navigazione e simili (incluse le apparecchiature di controllo dei processi industriali)</t>
  </si>
  <si>
    <t>33.20.04</t>
  </si>
  <si>
    <t>Installazione di cisterne, serbatoi e contenitori in metallo</t>
  </si>
  <si>
    <t>33.20.05</t>
  </si>
  <si>
    <t>Installazione di generatori di vapore (escluse le caldaie per il riscaldamento centrale ad acqua calda)</t>
  </si>
  <si>
    <t>33.20.06</t>
  </si>
  <si>
    <t>Installazione di macchine per ufficio, di mainframe e computer simili</t>
  </si>
  <si>
    <t>33.20.07</t>
  </si>
  <si>
    <t>Installazione di apparecchi medicali, di apparecchi e strumenti per odontoiatria</t>
  </si>
  <si>
    <t>33.20.08</t>
  </si>
  <si>
    <t>Installazione di apparecchi elettromedicali</t>
  </si>
  <si>
    <t>33.20.09</t>
  </si>
  <si>
    <t>Installazione di altre macchine ed apparecchiature industriali</t>
  </si>
  <si>
    <t>35.11.00</t>
  </si>
  <si>
    <t>Produzione di energia elettrica</t>
  </si>
  <si>
    <t>35.12.00</t>
  </si>
  <si>
    <t>Trasmissione di energia elettrica</t>
  </si>
  <si>
    <t>35.13.00</t>
  </si>
  <si>
    <t>Distribuzione di energia elettrica</t>
  </si>
  <si>
    <t>35.14.00</t>
  </si>
  <si>
    <t>Commercio di energia elettrica</t>
  </si>
  <si>
    <t>35.21.00</t>
  </si>
  <si>
    <t>Produzione di gas</t>
  </si>
  <si>
    <t>35.22.00</t>
  </si>
  <si>
    <t>Distribuzione di combustibili gassosi mediante condotte</t>
  </si>
  <si>
    <t>35.23.00</t>
  </si>
  <si>
    <t>Commercio di gas distribuito mediante condotte</t>
  </si>
  <si>
    <t>35.30.00</t>
  </si>
  <si>
    <t>Fornitura di vapore e aria condizionata</t>
  </si>
  <si>
    <t>36.00.00</t>
  </si>
  <si>
    <t>Raccolta, trattamento e fornitura di acqua</t>
  </si>
  <si>
    <t>37.00.00</t>
  </si>
  <si>
    <t>Raccolta e depurazione delle acque di scarico</t>
  </si>
  <si>
    <t>38.11.00</t>
  </si>
  <si>
    <t>Raccolta di rifiuti solidi non pericolosi</t>
  </si>
  <si>
    <t>38.12.00</t>
  </si>
  <si>
    <t>Raccolta di rifiuti pericolosi solidi e non solidi</t>
  </si>
  <si>
    <t>38.21.01</t>
  </si>
  <si>
    <t>Produzione di compost</t>
  </si>
  <si>
    <t>38.21.09</t>
  </si>
  <si>
    <t>Trattamento e smaltimento di altri rifiuti non pericolosi</t>
  </si>
  <si>
    <t>38.22.00</t>
  </si>
  <si>
    <t>Trattamento e smaltimento di rifiuti pericolosi</t>
  </si>
  <si>
    <t>38.31.10</t>
  </si>
  <si>
    <t>Demolizione di carcasse</t>
  </si>
  <si>
    <t>38.31.20</t>
  </si>
  <si>
    <t>Cantieri di demolizione navali</t>
  </si>
  <si>
    <t>38.32.10</t>
  </si>
  <si>
    <t>Recupero e preparazione per il riciclaggio di cascami e rottami metallici</t>
  </si>
  <si>
    <t>38.32.20</t>
  </si>
  <si>
    <t>Recupero e preparazione per il riciclaggio di materiale plastico per produzione di materie prime plastiche, resine sintetiche</t>
  </si>
  <si>
    <t>38.32.30</t>
  </si>
  <si>
    <t>Recupero e preparazione per il riciclaggio dei rifiuti solidi urbani, industriali e biomasse</t>
  </si>
  <si>
    <t>39.00.01</t>
  </si>
  <si>
    <t>Attività di rimozione di strutture ed elementi in amianto specializzata per l'edilizia</t>
  </si>
  <si>
    <t>39.00.09</t>
  </si>
  <si>
    <t>Altre attività di risanamento e altri servizi di gestione dei rifiuti</t>
  </si>
  <si>
    <t>41.10.00</t>
  </si>
  <si>
    <t>41.20.00</t>
  </si>
  <si>
    <t>42.11.00</t>
  </si>
  <si>
    <t>Costruzione di strade, autostrade e piste aeroportuali</t>
  </si>
  <si>
    <t>42.12.00</t>
  </si>
  <si>
    <t>Costruzione di linee ferroviarie e metropolitane</t>
  </si>
  <si>
    <t>42.13.00</t>
  </si>
  <si>
    <t>Costruzione di ponti e gallerie</t>
  </si>
  <si>
    <t>42.21.00</t>
  </si>
  <si>
    <t>Costruzione di opere di pubblica utilità per il trasporto di fluidi</t>
  </si>
  <si>
    <t>42.22.00</t>
  </si>
  <si>
    <t>Costruzione di opere di pubblica utilità per l'energia elettrica e le telecomunicazioni</t>
  </si>
  <si>
    <t>42.91.00</t>
  </si>
  <si>
    <t>Costruzione di opere idrauliche</t>
  </si>
  <si>
    <t>42.99.01</t>
  </si>
  <si>
    <t>Lottizzazione dei terreni connessa con l'urbanizzazione</t>
  </si>
  <si>
    <t>42.99.09</t>
  </si>
  <si>
    <t>Altre attività di costruzione di altre opere di ingegneria civile n.c.a.</t>
  </si>
  <si>
    <t>43.11.00</t>
  </si>
  <si>
    <t>Demolizione</t>
  </si>
  <si>
    <t>43.12.00</t>
  </si>
  <si>
    <t>Preparazione del cantiere edile e sistemazione del terreno</t>
  </si>
  <si>
    <t>43.13.00</t>
  </si>
  <si>
    <t>Trivellazioni e perforazioni</t>
  </si>
  <si>
    <t>43.21.01</t>
  </si>
  <si>
    <t>Installazione di impianti elettrici in edifici o in altre opere di costruzione (inclusa manutenzione e riparazione)</t>
  </si>
  <si>
    <t>43.21.02</t>
  </si>
  <si>
    <t>Installazione di impianti elettronici (inclusa manutenzione e riparazione)</t>
  </si>
  <si>
    <t>43.21.03</t>
  </si>
  <si>
    <t>Installazione di impianti di illuminazione stradale e dispositivi elettrici di segnalazione, illuminazione delle piste degli aeroporti (inclusa manutenzione e riparazione)</t>
  </si>
  <si>
    <t>43.21.04</t>
  </si>
  <si>
    <t>Installazione di insegne elettriche e impianti luce (incluse luminarie per feste)</t>
  </si>
  <si>
    <t>43.22.01</t>
  </si>
  <si>
    <t>Installazione di impianti idraulici, di riscaldamento e di condizionamento dell'aria (inclusa manutenzione e riparazione) in edifici o in altre opere di costruzione</t>
  </si>
  <si>
    <t>43.22.02</t>
  </si>
  <si>
    <t>Installazione di impianti per la distribuzione del gas (inclusa manutenzione e riparazione)</t>
  </si>
  <si>
    <t>43.22.03</t>
  </si>
  <si>
    <t>Installazione di impianti di spegnimento antincendio (inclusi quelli integrati e la manutenzione e riparazione)</t>
  </si>
  <si>
    <t>43.22.04</t>
  </si>
  <si>
    <t>Installazione di impianti di depurazione per piscine (inclusa manutenzione e riparazione)</t>
  </si>
  <si>
    <t>43.22.05</t>
  </si>
  <si>
    <t>Installazione di impianti di irrigazione per giardini (inclusa manutenzione e riparazione)</t>
  </si>
  <si>
    <t>43.29.01</t>
  </si>
  <si>
    <t>Installazione, riparazione e manutenzione di ascensori e scale mobili</t>
  </si>
  <si>
    <t>43.29.02</t>
  </si>
  <si>
    <t>Lavori di isolamento termico, acustico o antivibrazioni</t>
  </si>
  <si>
    <t>43.29.09</t>
  </si>
  <si>
    <t>Altri lavori di costruzione e installazione n.c.a.</t>
  </si>
  <si>
    <t>43.31.00</t>
  </si>
  <si>
    <t>Intonacatura e stuccatura</t>
  </si>
  <si>
    <t>43.32.01</t>
  </si>
  <si>
    <t>Posa in opera di casseforti, forzieri, porte blindate</t>
  </si>
  <si>
    <t>43.32.02</t>
  </si>
  <si>
    <t>Posa in opera di infissi, arredi, controsoffitti, pareti mobili e simili</t>
  </si>
  <si>
    <t>43.33.00</t>
  </si>
  <si>
    <t>Rivestimento di pavimenti e di muri</t>
  </si>
  <si>
    <t>43.34.00</t>
  </si>
  <si>
    <t>Tinteggiatura e posa in opera di vetri</t>
  </si>
  <si>
    <t>43.39.01</t>
  </si>
  <si>
    <t>Attività non specializzate di lavori edili (muratori)</t>
  </si>
  <si>
    <t>43.39.09</t>
  </si>
  <si>
    <t>Altri lavori di completamento e di finitura degli edifici n.c.a.</t>
  </si>
  <si>
    <t>43.91.00</t>
  </si>
  <si>
    <t>Realizzazione di coperture</t>
  </si>
  <si>
    <t>43.99.01</t>
  </si>
  <si>
    <t>Pulizia a vapore, sabbiatura e attività simili per pareti esterne di edifici</t>
  </si>
  <si>
    <t>43.99.02</t>
  </si>
  <si>
    <t>Noleggio di gru ed altre attrezzature con operatore per la costruzione o la demolizione</t>
  </si>
  <si>
    <t>43.99.09</t>
  </si>
  <si>
    <t>Altre attività di lavori specializzati di costruzione n.c.a.</t>
  </si>
  <si>
    <t>45.11.01</t>
  </si>
  <si>
    <t>Commercio all'ingrosso e al dettaglio di autovetture e di autoveicoli leggeri</t>
  </si>
  <si>
    <t>45.11.02</t>
  </si>
  <si>
    <t>Intermediari del commercio di autovetture e di autoveicoli leggeri (incluse le agenzie di compravendita)</t>
  </si>
  <si>
    <t>45.19.01</t>
  </si>
  <si>
    <t>Commercio all'ingrosso e al dettaglio di altri autoveicoli</t>
  </si>
  <si>
    <t>45.19.02</t>
  </si>
  <si>
    <t>Intermediari del commercio di altri autoveicoli (incluse le agenzie di compravendita)</t>
  </si>
  <si>
    <t>45.20.10</t>
  </si>
  <si>
    <t>Riparazioni meccaniche di autoveicoli</t>
  </si>
  <si>
    <t>45.20.20</t>
  </si>
  <si>
    <t>Riparazione di carrozzerie di autoveicoli</t>
  </si>
  <si>
    <t>45.20.30</t>
  </si>
  <si>
    <t>Riparazione di impianti elettrici e di alimentazione per autoveicoli</t>
  </si>
  <si>
    <t>45.20.40</t>
  </si>
  <si>
    <t>Riparazione e sostituzione di pneumatici per autoveicoli</t>
  </si>
  <si>
    <t>45.20.91</t>
  </si>
  <si>
    <t>Lavaggio autoveicoli</t>
  </si>
  <si>
    <t>45.20.99</t>
  </si>
  <si>
    <t>Altre attività di manutenzione e di riparazione di autoveicoli</t>
  </si>
  <si>
    <t>45.31.01</t>
  </si>
  <si>
    <t>Commercio all'ingrosso di parti e accessori di autoveicoli</t>
  </si>
  <si>
    <t>45.31.02</t>
  </si>
  <si>
    <t>Intermediari del commercio di parti ed accessori di autoveicoli</t>
  </si>
  <si>
    <t>45.32.00</t>
  </si>
  <si>
    <t>Commercio al dettaglio di parti e accessori di autoveicoli</t>
  </si>
  <si>
    <t>45.40.11</t>
  </si>
  <si>
    <t>Commercio all'ingrosso e al dettaglio di motocicli e ciclomotori</t>
  </si>
  <si>
    <t>45.40.12</t>
  </si>
  <si>
    <t>Intermediari del commercio di motocicli e ciclomotori</t>
  </si>
  <si>
    <t>45.40.21</t>
  </si>
  <si>
    <t>Commercio all'ingrosso e al dettaglio di parti e accessori per motocicli e ciclomotori</t>
  </si>
  <si>
    <t>45.40.22</t>
  </si>
  <si>
    <t>Intermediari del commercio di parti ed accessori di motocicli e ciclomotori</t>
  </si>
  <si>
    <t>45.40.30</t>
  </si>
  <si>
    <t>Manutenzione e riparazione di motocicli e ciclomotori (inclusi i pneumatici)</t>
  </si>
  <si>
    <t>46.11.01</t>
  </si>
  <si>
    <t>Agenti e rappresentanti di materie prime agricole</t>
  </si>
  <si>
    <t>46.11.02</t>
  </si>
  <si>
    <t>Agenti e rappresentanti di fiori e piante</t>
  </si>
  <si>
    <t>46.11.03</t>
  </si>
  <si>
    <t>Agenti e rappresentanti di animali vivi</t>
  </si>
  <si>
    <t>46.11.04</t>
  </si>
  <si>
    <t>Agenti e rappresentanti di fibre tessili gregge e semilavorate; pelli grezze</t>
  </si>
  <si>
    <t>46.11.05</t>
  </si>
  <si>
    <t>Procacciatori d'affari di materie prime agricole, animali vivi, materie prime e semilavorati tessili; pelli grezze</t>
  </si>
  <si>
    <t>46.11.06</t>
  </si>
  <si>
    <t>Mediatori in materie prime agricole, materie prime e semilavorati tessili; pelli grezze</t>
  </si>
  <si>
    <t>46.11.07</t>
  </si>
  <si>
    <t>Mediatori in animali vivi</t>
  </si>
  <si>
    <t>46.12.01</t>
  </si>
  <si>
    <t>Agenti e rappresentanti di carburanti, gpl, gas in bombole e simili; lubrificanti</t>
  </si>
  <si>
    <t>46.12.02</t>
  </si>
  <si>
    <t>Agenti e rappresentanti di combustibili solidi</t>
  </si>
  <si>
    <t>46.12.03</t>
  </si>
  <si>
    <t>Agenti e rappresentanti di minerali, metalli e prodotti semilavorati</t>
  </si>
  <si>
    <t>46.12.04</t>
  </si>
  <si>
    <t>Agenti e rappresentanti di prodotti chimici per l'industria</t>
  </si>
  <si>
    <t>46.12.05</t>
  </si>
  <si>
    <t>Agenti e rappresentanti di prodotti chimici per l'agricoltura (inclusi i fertilizzanti)</t>
  </si>
  <si>
    <t>46.12.06</t>
  </si>
  <si>
    <t>Procacciatori d'affari di combustibili, minerali, metalli e prodotti chimici</t>
  </si>
  <si>
    <t>46.12.07</t>
  </si>
  <si>
    <t>Mediatori in combustibili, minerali, metalli e prodotti chimici</t>
  </si>
  <si>
    <t>46.13.01</t>
  </si>
  <si>
    <t>Agenti e rappresentanti di legname, semilavorati in legno e legno artificiale</t>
  </si>
  <si>
    <t>46.13.02</t>
  </si>
  <si>
    <t>Agenti e rappresentanti di materiale da costruzione (inclusi gli infissi e gli articoli igienico-sanitari); vetro piano</t>
  </si>
  <si>
    <t>46.13.03</t>
  </si>
  <si>
    <t>Agenti e rappresentanti di apparecchi ed accessori per riscaldamento e condizionamento e altri prodotti similari</t>
  </si>
  <si>
    <t>46.13.04</t>
  </si>
  <si>
    <t>Procacciatori d'affari di legname e materiali da costruzione</t>
  </si>
  <si>
    <t>46.13.05</t>
  </si>
  <si>
    <t>Mediatori in legname e materiali da costruzione</t>
  </si>
  <si>
    <t>46.14.01</t>
  </si>
  <si>
    <t>Agenti e rappresentanti di macchine, attrezzature ed impianti per l'industria ed il commercio; materiale e apparecchi elettrici ed elettronici per uso non domestico</t>
  </si>
  <si>
    <t>46.14.02</t>
  </si>
  <si>
    <t>Agenti e rappresentanti di macchine per costruzioni edili e stradali</t>
  </si>
  <si>
    <t>46.14.03</t>
  </si>
  <si>
    <t>Agenti e rappresentanti di macchine, attrezzature per ufficio, attrezzature per le telecomunicazioni, computer e loro periferiche</t>
  </si>
  <si>
    <t>46.14.04</t>
  </si>
  <si>
    <t>Agenti e rappresentanti di macchine ed attrezzature per uso agricolo (inclusi i trattori)</t>
  </si>
  <si>
    <t>46.14.05</t>
  </si>
  <si>
    <t>Agenti e rappresentanti di navi, aeromobili e altri veicoli (esclusi autoveicoli, motocicli, ciclomotori e biciclette)</t>
  </si>
  <si>
    <t>46.14.06</t>
  </si>
  <si>
    <t>Procacciatori d'affari di macchinari, impianti industriali, navi e aeromobili, macchine agricole, macchine per ufficio, attrezzature per le telecomunicazioni, computer e loro periferiche</t>
  </si>
  <si>
    <t>46.14.07</t>
  </si>
  <si>
    <t>Mediatori in macchinari, impianti industriali, navi e aeromobili, macchine agricole, macchine per ufficio, attrezzature per le telecomunicazioni, computer e loro periferiche</t>
  </si>
  <si>
    <t>46.15.01</t>
  </si>
  <si>
    <t>Agenti e rappresentanti di mobili in legno, metallo e materie plastiche</t>
  </si>
  <si>
    <t>46.15.02</t>
  </si>
  <si>
    <t>Agenti e rappresentanti di articoli di ferramenta e di bricolage</t>
  </si>
  <si>
    <t>46.15.03</t>
  </si>
  <si>
    <t>Agenti e rappresentanti di articoli casalinghi, porcellane, articoli in vetro eccetera</t>
  </si>
  <si>
    <t>46.15.04</t>
  </si>
  <si>
    <t>Agenti e rappresentanti di vernici, carte da parati, stucchi e cornici decorativi</t>
  </si>
  <si>
    <t>46.15.05</t>
  </si>
  <si>
    <t>Agenti e rappresentanti di mobili e oggetti di arredamento per la casa in canna, vimini, giunco, sughero, paglia; scope, spazzole, cesti e simili</t>
  </si>
  <si>
    <t>46.15.06</t>
  </si>
  <si>
    <t>Procacciatori d'affari di mobili, articoli per la casa e ferramenta</t>
  </si>
  <si>
    <t>46.15.07</t>
  </si>
  <si>
    <t>Mediatori in mobili, articoli per la casa e ferramenta</t>
  </si>
  <si>
    <t>46.16.01</t>
  </si>
  <si>
    <t>Agenti e rappresentanti di vestiario ed accessori di abbigliamento</t>
  </si>
  <si>
    <t>46.16.02</t>
  </si>
  <si>
    <t>Agenti e rappresentanti di pellicce</t>
  </si>
  <si>
    <t>46.16.03</t>
  </si>
  <si>
    <t>Agenti e rappresentanti di tessuti per abbigliamento ed arredamento (incluse merceria e passamaneria)</t>
  </si>
  <si>
    <t>46.16.04</t>
  </si>
  <si>
    <t>Agenti e rappresentanti di camicie, biancheria e maglieria intima</t>
  </si>
  <si>
    <t>46.16.05</t>
  </si>
  <si>
    <t>Agenti e rappresentanti di calzature ed accessori</t>
  </si>
  <si>
    <t>46.16.06</t>
  </si>
  <si>
    <t>Agenti e rappresentanti di pelletteria, valige ed articoli da viaggio</t>
  </si>
  <si>
    <t>46.16.07</t>
  </si>
  <si>
    <t>Agenti e rappresentanti di articoli tessili per la casa, tappeti, stuoie e materassi</t>
  </si>
  <si>
    <t>46.16.08</t>
  </si>
  <si>
    <t>Procacciatori d'affari di prodotti tessili, abbigliamento, pellicce, calzature e articoli in pelle</t>
  </si>
  <si>
    <t>46.16.09</t>
  </si>
  <si>
    <t>Mediatori in prodotti tessili, abbigliamento, pellicce, calzature e articoli in pelle</t>
  </si>
  <si>
    <t>46.17.01</t>
  </si>
  <si>
    <t>Agenti e rappresentanti di prodotti ortofrutticoli freschi, congelati e surgelati</t>
  </si>
  <si>
    <t>46.17.02</t>
  </si>
  <si>
    <t>Agenti e rappresentanti di carni fresche, congelate, surgelate, conservate e secche; salumi</t>
  </si>
  <si>
    <t>46.17.03</t>
  </si>
  <si>
    <t>Agenti e rappresentanti di latte, burro e formaggi</t>
  </si>
  <si>
    <t>46.17.04</t>
  </si>
  <si>
    <t>Agenti e rappresentanti di oli e grassi alimentari: olio d'oliva e di semi, margarina ed altri prodotti similari</t>
  </si>
  <si>
    <t>46.17.05</t>
  </si>
  <si>
    <t>Agenti e rappresentanti di bevande e prodotti similari</t>
  </si>
  <si>
    <t>46.17.06</t>
  </si>
  <si>
    <t>Agenti e rappresentanti di prodotti ittici freschi, congelati, surgelati, conservati e secchi</t>
  </si>
  <si>
    <t>46.17.07</t>
  </si>
  <si>
    <t>Agenti e rappresentanti di altri prodotti alimentari (incluse le uova e gli alimenti per gli animali domestici); tabacco</t>
  </si>
  <si>
    <t>46.17.08</t>
  </si>
  <si>
    <t>Procacciatori d'affari di prodotti alimentari, bevande e tabacco</t>
  </si>
  <si>
    <t>46.17.09</t>
  </si>
  <si>
    <t>Mediatori in prodotti alimentari, bevande e tabacco</t>
  </si>
  <si>
    <t>46.18.11</t>
  </si>
  <si>
    <t>Agenti e rappresentanti di carta e cartone (esclusi gli imballaggi); articoli di cartoleria e cancelleria</t>
  </si>
  <si>
    <t>46.18.12</t>
  </si>
  <si>
    <t>Agenti e rappresentanti di libri e altre pubblicazioni (incluso i relativi abbonamenti)</t>
  </si>
  <si>
    <t>46.18.13</t>
  </si>
  <si>
    <t>Procacciatori d'affari di prodotti di carta, cancelleria, libri</t>
  </si>
  <si>
    <t>46.18.14</t>
  </si>
  <si>
    <t>Mediatori in prodotti di carta, cancelleria, libri</t>
  </si>
  <si>
    <t>46.18.21</t>
  </si>
  <si>
    <t>Agenti e rappresentanti di elettronica di consumo audio e video, materiale elettrico per uso domestico</t>
  </si>
  <si>
    <t>46.18.22</t>
  </si>
  <si>
    <t>Agenti e rappresentanti di apparecchi elettrodomestici</t>
  </si>
  <si>
    <t>46.18.23</t>
  </si>
  <si>
    <t>Procacciatori d'affari di elettronica di consumo audio e video, materiale elettrico per uso domestico, elettrodomestici</t>
  </si>
  <si>
    <t>46.18.24</t>
  </si>
  <si>
    <t>Mediatori in elettronica di consumo audio e video, materiale elettrico per uso domestico, elettrodomestici</t>
  </si>
  <si>
    <t>46.18.31</t>
  </si>
  <si>
    <t>Agenti e rappresentanti di prodotti farmaceutici; prodotti di erboristeria per uso medico</t>
  </si>
  <si>
    <t>46.18.32</t>
  </si>
  <si>
    <t>Agenti e rappresentanti di prodotti sanitari ed apparecchi medicali, chirurgici e ortopedici; apparecchi per centri di estetica</t>
  </si>
  <si>
    <t>46.18.33</t>
  </si>
  <si>
    <t>Agenti e rappresentanti di prodotti di profumeria e di cosmetica (inclusi articoli per parrucchieri); prodotti di erboristeria per uso cosmetico</t>
  </si>
  <si>
    <t>46.18.34</t>
  </si>
  <si>
    <t>Procacciatori d'affari di prodotti farmaceutici e di cosmetici</t>
  </si>
  <si>
    <t>46.18.35</t>
  </si>
  <si>
    <t>Mediatori in prodotti farmaceutici e cosmetici</t>
  </si>
  <si>
    <t>46.18.91</t>
  </si>
  <si>
    <t>Agenti e rappresentanti di attrezzature sportive; biciclette</t>
  </si>
  <si>
    <t>46.18.92</t>
  </si>
  <si>
    <t>Agenti e rappresentanti di orologi, oggetti e semilavorati per gioielleria e oreficeria</t>
  </si>
  <si>
    <t>46.18.93</t>
  </si>
  <si>
    <t>Agenti e rappresentanti di articoli fotografici, ottici e prodotti simili; strumenti scientifici e per laboratori di analisi</t>
  </si>
  <si>
    <t>46.18.94</t>
  </si>
  <si>
    <t>Agenti e rappresentanti di saponi, detersivi, candele e prodotti simili</t>
  </si>
  <si>
    <t>46.18.95</t>
  </si>
  <si>
    <t>Agenti e rappresentanti di giocattoli</t>
  </si>
  <si>
    <t>46.18.96</t>
  </si>
  <si>
    <t>Agenti e rappresentanti di chincaglieria e bigiotteria</t>
  </si>
  <si>
    <t>46.18.97</t>
  </si>
  <si>
    <t>Agenti e rappresentanti di altri prodotti non alimentari n.c.a. (inclusi gli imballaggi e gli articoli antinfortunistici, antincendio e pubblicitari)</t>
  </si>
  <si>
    <t>46.18.98</t>
  </si>
  <si>
    <t>Procacciatori d'affari di attrezzature sportive, biciclette e altri prodotti n.c.a.</t>
  </si>
  <si>
    <t>46.18.99</t>
  </si>
  <si>
    <t>Mediatori in attrezzature sportive, biciclette e altri prodotti n.c.a.</t>
  </si>
  <si>
    <t>46.19.01</t>
  </si>
  <si>
    <t>Agenti e rappresentanti di vari prodotti senza prevalenza di alcuno</t>
  </si>
  <si>
    <t>46.19.02</t>
  </si>
  <si>
    <t>Procacciatori d'affari di vari prodotti senza prevalenza di alcuno</t>
  </si>
  <si>
    <t>46.19.03</t>
  </si>
  <si>
    <t>Mediatori in vari prodotti senza prevalenza di alcuno</t>
  </si>
  <si>
    <t>46.19.04</t>
  </si>
  <si>
    <t>Gruppi di acquisto; mandatari agli acquisti; buyer</t>
  </si>
  <si>
    <t>46.21.10</t>
  </si>
  <si>
    <t>Commercio all'ingrosso di cereali e legumi secchi</t>
  </si>
  <si>
    <t>46.21.21</t>
  </si>
  <si>
    <t>Commercio all'ingrosso di tabacco grezzo</t>
  </si>
  <si>
    <t>46.21.22</t>
  </si>
  <si>
    <t>Commercio all'ingrosso di sementi e alimenti per il bestiame (mangimi), piante officinali, semi oleosi, patate da semina</t>
  </si>
  <si>
    <t>46.22.00</t>
  </si>
  <si>
    <t>Commercio all'ingrosso di fiori e piante</t>
  </si>
  <si>
    <t>46.23.00</t>
  </si>
  <si>
    <t>Commercio all'ingrosso di animali vivi</t>
  </si>
  <si>
    <t>46.24.10</t>
  </si>
  <si>
    <t>Commercio all'ingrosso di cuoio e pelli gregge e lavorate (escluse le pelli per pellicceria)</t>
  </si>
  <si>
    <t>46.24.20</t>
  </si>
  <si>
    <t>Commercio all'ingrosso di pelli gregge e lavorate per pellicceria</t>
  </si>
  <si>
    <t>46.31.10</t>
  </si>
  <si>
    <t>Commercio all'ingrosso di frutta e ortaggi freschi</t>
  </si>
  <si>
    <t>46.31.20</t>
  </si>
  <si>
    <t>Commercio all'ingrosso di frutta e ortaggi conservati</t>
  </si>
  <si>
    <t>46.32.10</t>
  </si>
  <si>
    <t>Commercio all'ingrosso di carne fresca, congelata e surgelata</t>
  </si>
  <si>
    <t>46.32.20</t>
  </si>
  <si>
    <t>Commercio all'ingrosso di prodotti di salumeria</t>
  </si>
  <si>
    <t>46.33.10</t>
  </si>
  <si>
    <t>Commercio all'ingrosso di prodotti lattiero-caseari e di uova</t>
  </si>
  <si>
    <t>46.33.20</t>
  </si>
  <si>
    <t>Commercio all'ingrosso di oli e grassi alimentari di origine vegetale o animale</t>
  </si>
  <si>
    <t>46.34.10</t>
  </si>
  <si>
    <t>Commercio all'ingrosso di bevande alcoliche</t>
  </si>
  <si>
    <t>46.34.20</t>
  </si>
  <si>
    <t>Commercio all'ingrosso di bevande non alcoliche</t>
  </si>
  <si>
    <t>46.35.00</t>
  </si>
  <si>
    <t>Commercio all'ingrosso di prodotti del tabacco</t>
  </si>
  <si>
    <t>46.36.00</t>
  </si>
  <si>
    <t>Commercio all'ingrosso di zucchero, cioccolato, dolciumi e prodotti da forno</t>
  </si>
  <si>
    <t>46.37.01</t>
  </si>
  <si>
    <t>Commercio all'ingrosso di caffè</t>
  </si>
  <si>
    <t>46.37.02</t>
  </si>
  <si>
    <t>Commercio all'ingrosso di tè, cacao e spezie</t>
  </si>
  <si>
    <t>46.38.10</t>
  </si>
  <si>
    <t>Commercio all'ingrosso di prodotti della pesca freschi</t>
  </si>
  <si>
    <t>46.38.20</t>
  </si>
  <si>
    <t>Commercio all'ingrosso di prodotti della pesca congelati, surgelati, conservati, secchi</t>
  </si>
  <si>
    <t>46.38.30</t>
  </si>
  <si>
    <t>Commercio all'ingrosso di pasti e piatti pronti</t>
  </si>
  <si>
    <t>46.38.90</t>
  </si>
  <si>
    <t>Commercio all'ingrosso di altri prodotti alimentari</t>
  </si>
  <si>
    <t>46.39.10</t>
  </si>
  <si>
    <t>Commercio all'ingrosso non specializzato di prodotti surgelati</t>
  </si>
  <si>
    <t>46.39.20</t>
  </si>
  <si>
    <t>Commercio all'ingrosso non specializzato di altri prodotti alimentari, bevande e tabacco</t>
  </si>
  <si>
    <t>46.41.10</t>
  </si>
  <si>
    <t>Commercio all'ingrosso di tessuti</t>
  </si>
  <si>
    <t>46.41.20</t>
  </si>
  <si>
    <t>Commercio all'ingrosso di articoli di merceria, filati e passamaneria</t>
  </si>
  <si>
    <t>46.41.90</t>
  </si>
  <si>
    <t>Commercio all'ingrosso di altri articoli tessili</t>
  </si>
  <si>
    <t>46.42.10</t>
  </si>
  <si>
    <t>Commercio all'ingrosso di abbigliamento e accessori</t>
  </si>
  <si>
    <t>46.42.20</t>
  </si>
  <si>
    <t>Commercio all'ingrosso di articoli in pelliccia</t>
  </si>
  <si>
    <t>46.42.30</t>
  </si>
  <si>
    <t>Commercio all'ingrosso di camicie, biancheria intima, maglieria e simili</t>
  </si>
  <si>
    <t>46.42.40</t>
  </si>
  <si>
    <t>Commercio all'ingrosso di calzature e accessori</t>
  </si>
  <si>
    <t>46.43.10</t>
  </si>
  <si>
    <t>Commercio all'ingrosso di elettrodomestici, di elettronica di consumo audio e video</t>
  </si>
  <si>
    <t>46.43.20</t>
  </si>
  <si>
    <t>Commercio all'ingrosso di supporti registrati, audio, video (Cd, Dvd e altri supporti)</t>
  </si>
  <si>
    <t>46.43.30</t>
  </si>
  <si>
    <t>Commercio all'ingrosso di articoli per fotografia, cinematografia e ottica</t>
  </si>
  <si>
    <t>46.44.10</t>
  </si>
  <si>
    <t>Commercio all'ingrosso di vetreria e cristalleria</t>
  </si>
  <si>
    <t>46.44.20</t>
  </si>
  <si>
    <t>Commercio all'ingrosso di ceramiche e porcellana</t>
  </si>
  <si>
    <t>46.44.30</t>
  </si>
  <si>
    <t>Commercio all'ingrosso di saponi, detersivi e altri prodotti per la pulizia</t>
  </si>
  <si>
    <t>46.44.40</t>
  </si>
  <si>
    <t>Commercio all'ingrosso di coltelleria, posateria e pentolame</t>
  </si>
  <si>
    <t>46.45.00</t>
  </si>
  <si>
    <t>Commercio all'ingrosso di profumi e cosmetici</t>
  </si>
  <si>
    <t>46.46.10</t>
  </si>
  <si>
    <t>Commercio all'ingrosso di medicinali</t>
  </si>
  <si>
    <t>46.46.20</t>
  </si>
  <si>
    <t>Commercio all'ingrosso di prodotti botanici per uso farmaceutico</t>
  </si>
  <si>
    <t>46.46.30</t>
  </si>
  <si>
    <t>Commercio all'ingrosso di articoli medicali ed ortopedici</t>
  </si>
  <si>
    <t>46.47.10</t>
  </si>
  <si>
    <t>Commercio all'ingrosso di mobili di qualsiasi materiale</t>
  </si>
  <si>
    <t>46.47.20</t>
  </si>
  <si>
    <t>Commercio all'ingrosso di tappeti</t>
  </si>
  <si>
    <t>46.47.30</t>
  </si>
  <si>
    <t>Commercio all'ingrosso di articoli per l'illuminazione; materiale elettrico vario per uso domestico</t>
  </si>
  <si>
    <t>46.48.00</t>
  </si>
  <si>
    <t>Commercio all'ingrosso di orologi e di gioielleria</t>
  </si>
  <si>
    <t>46.49.10</t>
  </si>
  <si>
    <t>Commercio all'ingrosso di carta, cartone e articoli di cartoleria</t>
  </si>
  <si>
    <t>46.49.20</t>
  </si>
  <si>
    <t>Commercio all'ingrosso di libri, riviste e giornali</t>
  </si>
  <si>
    <t>46.49.30</t>
  </si>
  <si>
    <t>Commercio all'ingrosso di giochi e giocattoli</t>
  </si>
  <si>
    <t>46.49.40</t>
  </si>
  <si>
    <t>Commercio all'ingrosso di articoli sportivi (incluse le biciclette)</t>
  </si>
  <si>
    <t>46.49.50</t>
  </si>
  <si>
    <t>Commercio all'ingrosso di articoli in pelle; articoli da viaggio in qualsiasi materiale</t>
  </si>
  <si>
    <t>46.49.90</t>
  </si>
  <si>
    <t>Commercio all'ingrosso di vari prodotti di consumo non alimentare n.c.a.</t>
  </si>
  <si>
    <t>46.51.00</t>
  </si>
  <si>
    <t>Commercio all'ingrosso di computer, apparecchiature informatiche periferiche e di software</t>
  </si>
  <si>
    <t>46.52.01</t>
  </si>
  <si>
    <t>Commercio all'ingrosso di apparecchi e materiali telefonici</t>
  </si>
  <si>
    <t>46.52.02</t>
  </si>
  <si>
    <t>Commercio all'ingrosso di nastri non registrati</t>
  </si>
  <si>
    <t>46.52.09</t>
  </si>
  <si>
    <t>Commercio all'ingrosso di altre apparecchiature elettroniche per telecomunicazioni e di altri componenti elettronici</t>
  </si>
  <si>
    <t>46.61.00</t>
  </si>
  <si>
    <t>Commercio all'ingrosso di macchine, accessori e utensili agricoli, inclusi i trattori</t>
  </si>
  <si>
    <t>46.62.00</t>
  </si>
  <si>
    <t>Commercio all'ingrosso di macchine utensili (incluse le relative parti intercambiabili)</t>
  </si>
  <si>
    <t>46.63.00</t>
  </si>
  <si>
    <t>Commercio all'ingrosso di macchine per le miniere, l'edilizia e l'ingegneria civile</t>
  </si>
  <si>
    <t>46.64.00</t>
  </si>
  <si>
    <t>Commercio all'ingrosso di macchine per l'industria tessile, di macchine per cucire e per maglieria</t>
  </si>
  <si>
    <t>46.65.00</t>
  </si>
  <si>
    <t>Commercio all'ingrosso di mobili per ufficio e negozi</t>
  </si>
  <si>
    <t>46.66.00</t>
  </si>
  <si>
    <t>Commercio all'ingrosso di altre macchine e attrezzature per ufficio</t>
  </si>
  <si>
    <t>46.69.11</t>
  </si>
  <si>
    <t>Commercio all'ingrosso di imbarcazioni da diporto</t>
  </si>
  <si>
    <t>46.69.19</t>
  </si>
  <si>
    <t>Commercio all'ingrosso di altri mezzi ed attrezzature di trasporto</t>
  </si>
  <si>
    <t>46.69.20</t>
  </si>
  <si>
    <t>Commercio all'ingrosso di materiale elettrico per impianti di uso industriale</t>
  </si>
  <si>
    <t>46.69.30</t>
  </si>
  <si>
    <t>Commercio all'ingrosso di apparecchiature per parrucchieri, palestre, solarium e centri estetici</t>
  </si>
  <si>
    <t>46.69.91</t>
  </si>
  <si>
    <t>Commercio all'ingrosso di strumenti e attrezzature di misurazione per uso scientifico</t>
  </si>
  <si>
    <t>46.69.92</t>
  </si>
  <si>
    <t>Commercio all'ingrosso di strumenti e attrezzature di misurazione per uso non scientifico</t>
  </si>
  <si>
    <t>46.69.93</t>
  </si>
  <si>
    <t>Commercio all'ingrosso di giochi per luna-park e videogiochi per pubblici esercizi</t>
  </si>
  <si>
    <t>46.69.94</t>
  </si>
  <si>
    <t>Commercio all'ingrosso di articoli antincendio e antinfortunistici</t>
  </si>
  <si>
    <t>46.69.99</t>
  </si>
  <si>
    <t>Commercio all'ingrosso di altre macchine ed attrezzature per l'industria, il commercio e la navigazione n.c.a.</t>
  </si>
  <si>
    <t>46.71.00</t>
  </si>
  <si>
    <t>Commercio all'ingrosso di prodotti petroliferi e lubrificanti per autotrazione, di combustibili per riscaldamento</t>
  </si>
  <si>
    <t>46.72.10</t>
  </si>
  <si>
    <t>Commercio all'ingrosso di minerali metalliferi, di metalli ferrosi e prodotti semilavorati</t>
  </si>
  <si>
    <t>46.72.20</t>
  </si>
  <si>
    <t>Commercio all'ingrosso di metalli non ferrosi e prodotti semilavorati</t>
  </si>
  <si>
    <t>46.73.10</t>
  </si>
  <si>
    <t>Commercio all'ingrosso di legname, semilavorati in legno e legno artificiale</t>
  </si>
  <si>
    <t>46.73.21</t>
  </si>
  <si>
    <t>Commercio all'ingrosso di moquette e linoleum</t>
  </si>
  <si>
    <t>46.73.22</t>
  </si>
  <si>
    <t>Commercio all'ingrosso di altri materiali per rivestimenti (inclusi gli apparecchi igienico-sanitari)</t>
  </si>
  <si>
    <t>46.73.23</t>
  </si>
  <si>
    <t>Commercio all'ingrosso di infissi</t>
  </si>
  <si>
    <t>46.73.29</t>
  </si>
  <si>
    <t>Commercio all'ingrosso di altri materiali da costruzione</t>
  </si>
  <si>
    <t>46.73.30</t>
  </si>
  <si>
    <t>Commercio all'ingrosso di vetro piano</t>
  </si>
  <si>
    <t>46.73.40</t>
  </si>
  <si>
    <t>Commercio all'ingrosso di carta da parati, colori e vernici</t>
  </si>
  <si>
    <t>46.74.10</t>
  </si>
  <si>
    <t>Commercio all'ingrosso di articoli in ferro e in altri metalli (ferramenta)</t>
  </si>
  <si>
    <t>46.74.20</t>
  </si>
  <si>
    <t>Commercio all'ingrosso di apparecchi e accessori per impianti idraulici, di riscaldamento e di condizionamento</t>
  </si>
  <si>
    <t>46.75.01</t>
  </si>
  <si>
    <t>Commercio all'ingrosso di fertilizzanti e di altri prodotti chimici per l'agricoltura</t>
  </si>
  <si>
    <t>46.75.02</t>
  </si>
  <si>
    <t>Commercio all'ingrosso di prodotti chimici per l'industria</t>
  </si>
  <si>
    <t>46.76.10</t>
  </si>
  <si>
    <t>Commercio all'ingrosso di fibre tessili gregge e semilavorate</t>
  </si>
  <si>
    <t>46.76.20</t>
  </si>
  <si>
    <t>Commercio all'ingrosso di gomma greggia, materie plastiche in forme primarie e semilavorati</t>
  </si>
  <si>
    <t>46.76.30</t>
  </si>
  <si>
    <t>Commercio all'ingrosso di imballaggi</t>
  </si>
  <si>
    <t>46.76.90</t>
  </si>
  <si>
    <t>Commercio all'ingrosso di altri prodotti intermedi n.c.a.</t>
  </si>
  <si>
    <t>46.77.10</t>
  </si>
  <si>
    <t>Commercio all'ingrosso di rottami e sottoprodotti della lavorazione industriale metallici</t>
  </si>
  <si>
    <t>46.77.20</t>
  </si>
  <si>
    <t>Commercio all'ingrosso di altri materiali di recupero non metallici (vetro, carta, cartoni eccetera); sottoprodotti non metallici della lavorazione industriale (cascami)</t>
  </si>
  <si>
    <t>46.90.00</t>
  </si>
  <si>
    <t>Commercio all'ingrosso non specializzato</t>
  </si>
  <si>
    <t>47.11.10</t>
  </si>
  <si>
    <t>Ipermercati</t>
  </si>
  <si>
    <t>47.11.20</t>
  </si>
  <si>
    <t>Supermercati</t>
  </si>
  <si>
    <t>47.11.30</t>
  </si>
  <si>
    <t>Discount di alimentari</t>
  </si>
  <si>
    <t>47.11.40</t>
  </si>
  <si>
    <t>Minimercati ed altri esercizi non specializzati di alimentari vari</t>
  </si>
  <si>
    <t>47.11.50</t>
  </si>
  <si>
    <t>Commercio al dettaglio di prodotti surgelati</t>
  </si>
  <si>
    <t>47.19.10</t>
  </si>
  <si>
    <t>Grandi magazzini</t>
  </si>
  <si>
    <t>47.19.20</t>
  </si>
  <si>
    <t>Commercio al dettaglio in esercizi non specializzati di computer, periferiche, attrezzature per le telecomunicazioni, elettronica di consumo audio e video, elettrodomestici</t>
  </si>
  <si>
    <t>47.19.90</t>
  </si>
  <si>
    <t>Empori ed altri negozi non specializzati di vari prodotti non alimentari</t>
  </si>
  <si>
    <t>47.21.01</t>
  </si>
  <si>
    <t>Commercio al dettaglio di frutta e verdura fresca</t>
  </si>
  <si>
    <t>47.21.02</t>
  </si>
  <si>
    <t>Commercio al dettaglio di frutta e verdura preparata e conservata</t>
  </si>
  <si>
    <t>47.22.00</t>
  </si>
  <si>
    <t>Commercio al dettaglio di carni e di prodotti a base di carne</t>
  </si>
  <si>
    <t>47.23.00</t>
  </si>
  <si>
    <t>Commercio al dettaglio di pesci, crostacei e molluschi</t>
  </si>
  <si>
    <t>47.24.10</t>
  </si>
  <si>
    <t>Commercio al dettaglio di pane</t>
  </si>
  <si>
    <t>47.24.20</t>
  </si>
  <si>
    <t>Commercio al dettaglio di torte, dolciumi, confetteria</t>
  </si>
  <si>
    <t>47.25.00</t>
  </si>
  <si>
    <t>Commercio al dettaglio di bevande</t>
  </si>
  <si>
    <t>47.26.00</t>
  </si>
  <si>
    <t>Commercio al dettaglio di generi di monopolio (tabaccherie)</t>
  </si>
  <si>
    <t>47.29.10</t>
  </si>
  <si>
    <t>Commercio al dettaglio di latte e di prodotti lattiero-caseari</t>
  </si>
  <si>
    <t>47.29.20</t>
  </si>
  <si>
    <t>Commercio al dettaglio di caffè torrefatto</t>
  </si>
  <si>
    <t>47.29.30</t>
  </si>
  <si>
    <t>Commercio al dettaglio di prodotti macrobiotici e dietetici</t>
  </si>
  <si>
    <t>47.29.90</t>
  </si>
  <si>
    <t>Commercio al dettaglio di altri prodotti alimentari in esercizi specializzati n.c.a.</t>
  </si>
  <si>
    <t>47.30.00</t>
  </si>
  <si>
    <t>Commercio al dettaglio di carburante per autotrazione</t>
  </si>
  <si>
    <t>47.41.00</t>
  </si>
  <si>
    <t>Commercio al dettaglio di computer, unità periferiche, software e attrezzature per ufficio in esercizi specializzati</t>
  </si>
  <si>
    <t>47.42.00</t>
  </si>
  <si>
    <t>Commercio al dettaglio di apparecchiature per le telecomunicazioni e la telefonia in esercizi specializzati</t>
  </si>
  <si>
    <t>47.43.00</t>
  </si>
  <si>
    <t>Commercio al dettaglio di apparecchi audio e video in esercizi specializzati</t>
  </si>
  <si>
    <t>47.51.10</t>
  </si>
  <si>
    <t>Commercio al dettaglio di tessuti per l'abbigliamento, l'arredamento e di biancheria per la casa</t>
  </si>
  <si>
    <t>47.51.20</t>
  </si>
  <si>
    <t>Commercio al dettaglio di filati per maglieria e merceria</t>
  </si>
  <si>
    <t>47.52.10</t>
  </si>
  <si>
    <t>Commercio al dettaglio di ferramenta, vernici, vetro piano e materiale elettrico e termoidraulico</t>
  </si>
  <si>
    <t>47.52.20</t>
  </si>
  <si>
    <t>Commercio al dettaglio di articoli igienico-sanitari</t>
  </si>
  <si>
    <t>47.52.30</t>
  </si>
  <si>
    <t>Commercio al dettaglio di materiali da costruzione, ceramiche e piastrelle</t>
  </si>
  <si>
    <t>47.52.40</t>
  </si>
  <si>
    <t>Commercio al dettaglio di macchine, attrezzature e prodotti per l'agricoltura; macchine e attrezzature per il giardinaggio</t>
  </si>
  <si>
    <t>47.53.11</t>
  </si>
  <si>
    <t>Commercio al dettaglio di tende e tendine</t>
  </si>
  <si>
    <t>47.53.12</t>
  </si>
  <si>
    <t>Commercio al dettaglio di tappeti</t>
  </si>
  <si>
    <t>47.53.20</t>
  </si>
  <si>
    <t>Commercio al dettaglio di carta da parati e rivestimenti per pavimenti (moquette e linoleum)</t>
  </si>
  <si>
    <t>47.54.00</t>
  </si>
  <si>
    <t>Commercio al dettaglio di elettrodomestici in esercizi specializzati</t>
  </si>
  <si>
    <t>47.59.10</t>
  </si>
  <si>
    <t>Commercio al dettaglio di mobili per la casa</t>
  </si>
  <si>
    <t>47.59.20</t>
  </si>
  <si>
    <t>Commercio al dettaglio di utensili per la casa, di cristallerie e vasellame</t>
  </si>
  <si>
    <t>47.59.30</t>
  </si>
  <si>
    <t>Commercio al dettaglio di articoli per l'illuminazione</t>
  </si>
  <si>
    <t>47.59.40</t>
  </si>
  <si>
    <t>Commercio al dettaglio di macchine per cucire e per maglieria per uso domestico</t>
  </si>
  <si>
    <t>47.59.50</t>
  </si>
  <si>
    <t>Commercio al dettaglio di sistemi di sicurezza</t>
  </si>
  <si>
    <t>47.59.60</t>
  </si>
  <si>
    <t>Commercio al dettaglio di strumenti musicali e spartiti</t>
  </si>
  <si>
    <t>47.59.91</t>
  </si>
  <si>
    <t>Commercio al dettaglio di articoli in legno, sughero, vimini e articoli in plastica per uso domestico</t>
  </si>
  <si>
    <t>47.59.99</t>
  </si>
  <si>
    <t>Commercio al dettaglio di altri articoli per uso domestico n.c.a.</t>
  </si>
  <si>
    <t>47.61.00</t>
  </si>
  <si>
    <t>Commercio al dettaglio di libri nuovi in esercizi specializzati</t>
  </si>
  <si>
    <t>47.62.10</t>
  </si>
  <si>
    <t>Commercio al dettaglio di giornali, riviste e periodici</t>
  </si>
  <si>
    <t>47.62.20</t>
  </si>
  <si>
    <t>Commercio al dettaglio di articoli di cartoleria e forniture per ufficio</t>
  </si>
  <si>
    <t>47.63.00</t>
  </si>
  <si>
    <t>Commercio al dettaglio di registrazioni musicali e video in esercizi specializzati</t>
  </si>
  <si>
    <t>47.64.10</t>
  </si>
  <si>
    <t>Commercio al dettaglio di articoli sportivi, biciclette e articoli per il tempo libero</t>
  </si>
  <si>
    <t>47.64.20</t>
  </si>
  <si>
    <t>Commercio al dettaglio di natanti e accessori</t>
  </si>
  <si>
    <t>47.65.00</t>
  </si>
  <si>
    <t>Commercio al dettaglio di giochi e giocattoli (inclusi quelli elettronici)</t>
  </si>
  <si>
    <t>47.71.10</t>
  </si>
  <si>
    <t>Commercio al dettaglio di confezioni per adulti</t>
  </si>
  <si>
    <t>47.71.20</t>
  </si>
  <si>
    <t>Commercio al dettaglio di confezioni per bambini e neonati</t>
  </si>
  <si>
    <t>47.71.30</t>
  </si>
  <si>
    <t>Commercio al dettaglio di biancheria personale, maglieria, camicie</t>
  </si>
  <si>
    <t>47.71.40</t>
  </si>
  <si>
    <t>Commercio al dettaglio di pellicce e di abbigliamento in pelle</t>
  </si>
  <si>
    <t>47.71.50</t>
  </si>
  <si>
    <t>Commercio al dettaglio di cappelli, ombrelli, guanti e cravatte</t>
  </si>
  <si>
    <t>47.72.10</t>
  </si>
  <si>
    <t>Commercio al dettaglio di calzature e accessori</t>
  </si>
  <si>
    <t>47.72.20</t>
  </si>
  <si>
    <t>Commercio al dettaglio di articoli di pelletteria e da viaggio</t>
  </si>
  <si>
    <t>47.73.10</t>
  </si>
  <si>
    <t>Farmacie</t>
  </si>
  <si>
    <t>47.73.20</t>
  </si>
  <si>
    <t>Commercio al dettaglio in altri esercizi specializzati di medicinali non soggetti a prescrizione medica</t>
  </si>
  <si>
    <t>47.74.00</t>
  </si>
  <si>
    <t>Commercio al dettaglio di articoli medicali e ortopedici in esercizi specializzati</t>
  </si>
  <si>
    <t>47.75.10</t>
  </si>
  <si>
    <t>Commercio al dettaglio di articoli di profumeria, prodotti per toletta e per l'igiene personale</t>
  </si>
  <si>
    <t>47.75.20</t>
  </si>
  <si>
    <t>Erboristerie</t>
  </si>
  <si>
    <t>47.76.10</t>
  </si>
  <si>
    <t>Commercio al dettaglio di fiori e piante</t>
  </si>
  <si>
    <t>47.76.20</t>
  </si>
  <si>
    <t>Commercio al dettaglio di piccoli animali domestici</t>
  </si>
  <si>
    <t>47.77.00</t>
  </si>
  <si>
    <t>Commercio al dettaglio di orologi, articoli di gioielleria e argenteria</t>
  </si>
  <si>
    <t>47.78.10</t>
  </si>
  <si>
    <t>Commercio al dettaglio di mobili per ufficio</t>
  </si>
  <si>
    <t>47.78.20</t>
  </si>
  <si>
    <t>Commercio al dettaglio di materiale per ottica e fotografia</t>
  </si>
  <si>
    <t>47.78.31</t>
  </si>
  <si>
    <t>Commercio al dettaglio di oggetti d'arte (incluse le gallerie d'arte)</t>
  </si>
  <si>
    <t>47.78.32</t>
  </si>
  <si>
    <t>Commercio al dettaglio di oggetti d'artigianato</t>
  </si>
  <si>
    <t>47.78.33</t>
  </si>
  <si>
    <t>Commercio al dettaglio di arredi sacri ed articoli religiosi</t>
  </si>
  <si>
    <t>47.78.34</t>
  </si>
  <si>
    <t>Commercio al dettaglio di articoli da regalo e per fumatori</t>
  </si>
  <si>
    <t>47.78.35</t>
  </si>
  <si>
    <t>Commercio al dettaglio di bomboniere</t>
  </si>
  <si>
    <t>47.78.36</t>
  </si>
  <si>
    <t>Commercio al dettaglio di chincaglieria e bigiotteria (inclusi gli oggetti ricordo e gli articoli di promozione pubblicitaria)</t>
  </si>
  <si>
    <t>47.78.37</t>
  </si>
  <si>
    <t>Commercio al dettaglio di articoli per le belle arti</t>
  </si>
  <si>
    <t>47.78.40</t>
  </si>
  <si>
    <t>Commercio al dettaglio di combustibile per uso domestico e per riscaldamento</t>
  </si>
  <si>
    <t>47.78.50</t>
  </si>
  <si>
    <t>Commercio al dettaglio di armi e munizioni, articoli militari</t>
  </si>
  <si>
    <t>47.78.60</t>
  </si>
  <si>
    <t>Commercio al dettaglio di saponi, detersivi, prodotti per la lucidatura e affini</t>
  </si>
  <si>
    <t>47.78.91</t>
  </si>
  <si>
    <t>Commercio al dettaglio di filatelia, numismatica e articoli da collezionismo</t>
  </si>
  <si>
    <t>47.78.92</t>
  </si>
  <si>
    <t>Commercio al dettaglio di spaghi, cordami, tele e sacchi di juta e prodotti per l'imballaggio (esclusi quelli in carta e cartone)</t>
  </si>
  <si>
    <t>47.78.93</t>
  </si>
  <si>
    <t>Commercio al dettaglio di articoli funerari e cimiteriali</t>
  </si>
  <si>
    <t>47.78.94</t>
  </si>
  <si>
    <t>Commercio al dettaglio di articoli per adulti (sexy shop)</t>
  </si>
  <si>
    <t>47.78.99</t>
  </si>
  <si>
    <t>Commercio al dettaglio di altri prodotti non alimentari n.c.a.</t>
  </si>
  <si>
    <t>47.79.10</t>
  </si>
  <si>
    <t>Commercio al dettaglio di libri di seconda mano</t>
  </si>
  <si>
    <t>47.79.20</t>
  </si>
  <si>
    <t>Commercio al dettaglio di mobili usati e oggetti di antiquariato</t>
  </si>
  <si>
    <t>47.79.30</t>
  </si>
  <si>
    <t>Commercio al dettaglio di indumenti e altri oggetti usati</t>
  </si>
  <si>
    <t>47.79.40</t>
  </si>
  <si>
    <t>Case d'asta al dettaglio (escluse aste via internet)</t>
  </si>
  <si>
    <t>47.81.01</t>
  </si>
  <si>
    <t>Commercio al dettaglio ambulante di prodotti ortofrutticoli</t>
  </si>
  <si>
    <t>47.81.02</t>
  </si>
  <si>
    <t>Commercio al dettaglio ambulante di prodotti ittici</t>
  </si>
  <si>
    <t>47.81.03</t>
  </si>
  <si>
    <t>Commercio al dettaglio ambulante di carne</t>
  </si>
  <si>
    <t>47.81.09</t>
  </si>
  <si>
    <t>Commercio al dettaglio ambulante di altri prodotti alimentari e bevande n.c.a.</t>
  </si>
  <si>
    <t>47.82.01</t>
  </si>
  <si>
    <t>Commercio al dettaglio ambulante di tessuti, articoli tessili per la casa, articoli di abbigliamento</t>
  </si>
  <si>
    <t>47.82.02</t>
  </si>
  <si>
    <t>Commercio al dettaglio ambulante di calzature e pelletterie</t>
  </si>
  <si>
    <t>47.89.01</t>
  </si>
  <si>
    <t>Commercio al dettaglio ambulante di fiori, piante, bulbi, semi e fertilizzanti</t>
  </si>
  <si>
    <t>47.89.02</t>
  </si>
  <si>
    <t>Commercio al dettaglio ambulante di macchine, attrezzature e prodotti per l'agricoltura; attrezzature per il giardinaggio</t>
  </si>
  <si>
    <t>47.89.03</t>
  </si>
  <si>
    <t>Commercio al dettaglio ambulante di profumi e cosmetici; saponi, detersivi ed altri detergenti per qualsiasi uso</t>
  </si>
  <si>
    <t>47.89.04</t>
  </si>
  <si>
    <t>Commercio al dettaglio ambulante di chincaglieria e bigiotteria</t>
  </si>
  <si>
    <t>47.89.05</t>
  </si>
  <si>
    <t>Commercio al dettaglio ambulante di arredamenti per giardino; mobili; tappeti e stuoie; articoli casalinghi; elettrodomestici; materiale elettrico</t>
  </si>
  <si>
    <t>47.89.09</t>
  </si>
  <si>
    <t>Commercio al dettaglio ambulante di altri prodotti n.c.a.</t>
  </si>
  <si>
    <t>47.91.10</t>
  </si>
  <si>
    <t>Commercio al dettaglio di qualsiasi tipo di prodotto effettuato via internet</t>
  </si>
  <si>
    <t>47.91.20</t>
  </si>
  <si>
    <t>Commercio al dettaglio di qualsiasi tipo di prodotto effettuato per televisione</t>
  </si>
  <si>
    <t>47.91.30</t>
  </si>
  <si>
    <t>Commercio al dettaglio di qualsiasi tipo di prodotto per corrispondenza, radio, telefono</t>
  </si>
  <si>
    <t>47.99.10</t>
  </si>
  <si>
    <t>Commercio al dettaglio di prodotti vari, mediante l'intervento di un dimostratore o di un incaricato alla vendita (porta a porta)</t>
  </si>
  <si>
    <t>47.99.20</t>
  </si>
  <si>
    <t>Commercio effettuato per mezzo di distributori automatici</t>
  </si>
  <si>
    <t>49.10.00</t>
  </si>
  <si>
    <t>49.20.00</t>
  </si>
  <si>
    <t>49.31.00</t>
  </si>
  <si>
    <t>Trasporto terrestre di passeggeri in aree urbane e suburbane</t>
  </si>
  <si>
    <t>49.32.10</t>
  </si>
  <si>
    <t>Trasporto con taxi</t>
  </si>
  <si>
    <t>49.32.20</t>
  </si>
  <si>
    <t>Trasporto mediante noleggio di autovetture da rimessa con conducente</t>
  </si>
  <si>
    <t>49.39.01</t>
  </si>
  <si>
    <t>Gestioni di funicolari, ski-lift e seggiovie se non facenti parte dei sistemi di transito urbano o suburbano</t>
  </si>
  <si>
    <t>49.39.09</t>
  </si>
  <si>
    <t>Altre attività di trasporti terrestri di passeggeri n.c.a.</t>
  </si>
  <si>
    <t>49.41.00</t>
  </si>
  <si>
    <t>Trasporto di merci su strada</t>
  </si>
  <si>
    <t>49.42.00</t>
  </si>
  <si>
    <t>Servizi di trasloco</t>
  </si>
  <si>
    <t>49.50.10</t>
  </si>
  <si>
    <t>Trasporto mediante condotte di gas</t>
  </si>
  <si>
    <t>49.50.20</t>
  </si>
  <si>
    <t>Trasporto mediante condotte di liquidi</t>
  </si>
  <si>
    <t>50.10.00</t>
  </si>
  <si>
    <t>Trasporto marittimo e costiero di passeggeri</t>
  </si>
  <si>
    <t>50.20.00</t>
  </si>
  <si>
    <t>Trasporto marittimo e costiero di merci</t>
  </si>
  <si>
    <t>50.30.00</t>
  </si>
  <si>
    <t>Trasporto di passeggeri per vie d'acqua interne (inclusi i trasporti lagunari)</t>
  </si>
  <si>
    <t>50.40.00</t>
  </si>
  <si>
    <t>Trasporto di merci per vie d'acqua interne</t>
  </si>
  <si>
    <t>51.10.10</t>
  </si>
  <si>
    <t>Trasporto aereo di linea di passeggeri</t>
  </si>
  <si>
    <t>51.10.20</t>
  </si>
  <si>
    <t>Trasporto aereo non di linea di passeggeri; voli charter</t>
  </si>
  <si>
    <t>51.21.00</t>
  </si>
  <si>
    <t>Trasporto aereo di merci</t>
  </si>
  <si>
    <t>51.22.00</t>
  </si>
  <si>
    <t>Trasporto spaziale</t>
  </si>
  <si>
    <t>52.10.10</t>
  </si>
  <si>
    <t>Magazzini di custodia e deposito per conto terzi</t>
  </si>
  <si>
    <t>52.10.20</t>
  </si>
  <si>
    <t>Magazzini frigoriferi per conto terzi</t>
  </si>
  <si>
    <t>52.21.10</t>
  </si>
  <si>
    <t>Gestione di infrastrutture ferroviarie</t>
  </si>
  <si>
    <t>52.21.20</t>
  </si>
  <si>
    <t>Gestione di strade, ponti, gallerie</t>
  </si>
  <si>
    <t>52.21.30</t>
  </si>
  <si>
    <t>Gestione di stazioni per autobus</t>
  </si>
  <si>
    <t>52.21.40</t>
  </si>
  <si>
    <t>Gestione di centri di movimentazione merci (interporti)</t>
  </si>
  <si>
    <t>52.21.50</t>
  </si>
  <si>
    <t>Gestione di parcheggi e autorimesse</t>
  </si>
  <si>
    <t>52.21.60</t>
  </si>
  <si>
    <t>Attività di traino e soccorso stradale</t>
  </si>
  <si>
    <t>52.21.90</t>
  </si>
  <si>
    <t>Altre attività connesse ai trasporti terrestri n.c.a.</t>
  </si>
  <si>
    <t>52.22.01</t>
  </si>
  <si>
    <t>Liquefazione e rigassificazione di gas a scopo di trasporto marittimo e per vie d'acqua effettuata al di fuori del sito di estrazione</t>
  </si>
  <si>
    <t>52.22.09</t>
  </si>
  <si>
    <t>Altre attività dei servizi connessi al trasporto marittimo e per vie d'acqua</t>
  </si>
  <si>
    <t>52.23.00</t>
  </si>
  <si>
    <t>Attività dei servizi connessi al trasporto aereo</t>
  </si>
  <si>
    <t>52.24.10</t>
  </si>
  <si>
    <t>Movimento merci relativo a trasporti aerei</t>
  </si>
  <si>
    <t>52.24.20</t>
  </si>
  <si>
    <t>Movimento merci relativo a trasporti marittimi e fluviali</t>
  </si>
  <si>
    <t>52.24.30</t>
  </si>
  <si>
    <t>Movimento merci relativo a trasporti ferroviari</t>
  </si>
  <si>
    <t>52.24.40</t>
  </si>
  <si>
    <t>Movimento merci relativo ad altri trasporti terrestri</t>
  </si>
  <si>
    <t>52.29.10</t>
  </si>
  <si>
    <t>Spedizionieri e agenzie di operazioni doganali</t>
  </si>
  <si>
    <t>52.29.21</t>
  </si>
  <si>
    <t>Intermediari dei trasporti</t>
  </si>
  <si>
    <t>52.29.22</t>
  </si>
  <si>
    <t>Servizi logistici relativi alla distribuzione delle merci</t>
  </si>
  <si>
    <t>53.10.00</t>
  </si>
  <si>
    <t>Attività postali con obbligo di servizio universale</t>
  </si>
  <si>
    <t>53.20.00</t>
  </si>
  <si>
    <t>Altre attività postali e di corriere senza obbligo di servizio universale</t>
  </si>
  <si>
    <t>55.10.00</t>
  </si>
  <si>
    <t>Alberghi</t>
  </si>
  <si>
    <t>55.20.10</t>
  </si>
  <si>
    <t>Villaggi turistici</t>
  </si>
  <si>
    <t>55.20.20</t>
  </si>
  <si>
    <t>Ostelli della gioventù</t>
  </si>
  <si>
    <t>55.20.30</t>
  </si>
  <si>
    <t>Rifugi di montagna</t>
  </si>
  <si>
    <t>55.20.40</t>
  </si>
  <si>
    <t>Colonie marine e montane</t>
  </si>
  <si>
    <t>55.20.51</t>
  </si>
  <si>
    <t>Affittacamere per brevi soggiorni, case ed appartamenti per vacanze, bed and breakfast, residence</t>
  </si>
  <si>
    <t>55.20.52</t>
  </si>
  <si>
    <t>Attività di alloggio connesse alle aziende agricole</t>
  </si>
  <si>
    <t>55.20.53</t>
  </si>
  <si>
    <t>Attività di alloggio connesse alle aziende ittiche</t>
  </si>
  <si>
    <t>55.30.00</t>
  </si>
  <si>
    <t>Aree di campeggio e aree attrezzate per camper e roulotte</t>
  </si>
  <si>
    <t>55.90.10</t>
  </si>
  <si>
    <t>Gestione di vagoni letto</t>
  </si>
  <si>
    <t>55.90.20</t>
  </si>
  <si>
    <t>Alloggi per studenti e lavoratori con servizi accessori di tipo alberghiero</t>
  </si>
  <si>
    <t>56.10.11</t>
  </si>
  <si>
    <t>Ristorazione con somministrazione</t>
  </si>
  <si>
    <t>56.10.12</t>
  </si>
  <si>
    <t>Attività di ristorazione connesse alle aziende agricole</t>
  </si>
  <si>
    <t>56.10.13</t>
  </si>
  <si>
    <t>Attività di ristorazione connesse alle aziende ittiche</t>
  </si>
  <si>
    <t>56.10.20</t>
  </si>
  <si>
    <t>Ristorazione senza somministrazione con preparazione di cibi da asporto</t>
  </si>
  <si>
    <t>56.10.30</t>
  </si>
  <si>
    <t>Gelaterie e pasticcerie</t>
  </si>
  <si>
    <t>56.10.41</t>
  </si>
  <si>
    <t>Gelaterie e pasticcerie ambulanti</t>
  </si>
  <si>
    <t>56.10.42</t>
  </si>
  <si>
    <t>Ristorazione ambulante</t>
  </si>
  <si>
    <t>56.10.50</t>
  </si>
  <si>
    <t>Ristorazione su treni e navi</t>
  </si>
  <si>
    <t>56.21.00</t>
  </si>
  <si>
    <t>Catering per eventi, banqueting</t>
  </si>
  <si>
    <t>56.29.10</t>
  </si>
  <si>
    <t>Mense</t>
  </si>
  <si>
    <t>56.29.20</t>
  </si>
  <si>
    <t>Catering continuativo su base contrattuale</t>
  </si>
  <si>
    <t>56.30.00</t>
  </si>
  <si>
    <t>Bar e altri esercizi simili senza cucina</t>
  </si>
  <si>
    <t>58.11.00</t>
  </si>
  <si>
    <t>Edizione di libri</t>
  </si>
  <si>
    <t>58.12.01</t>
  </si>
  <si>
    <t>58.12.02</t>
  </si>
  <si>
    <t>58.13.00</t>
  </si>
  <si>
    <t>Edizione di quotidiani</t>
  </si>
  <si>
    <t>58.14.00</t>
  </si>
  <si>
    <t>Edizione di riviste e periodici</t>
  </si>
  <si>
    <t>58.19.00</t>
  </si>
  <si>
    <t>Altre attività editoriali</t>
  </si>
  <si>
    <t>58.21.00</t>
  </si>
  <si>
    <t>Edizione di giochi per computer</t>
  </si>
  <si>
    <t>58.29.00</t>
  </si>
  <si>
    <t>Edizione di altri software a pacchetto (esclusi giochi per computer)</t>
  </si>
  <si>
    <t>59.11.00</t>
  </si>
  <si>
    <t>Attività di produzione cinematografica, di video e di programmi televisivi</t>
  </si>
  <si>
    <t>59.12.00</t>
  </si>
  <si>
    <t>Attività di post-produzione cinematografica, di video e di programmi televisivi</t>
  </si>
  <si>
    <t>59.13.00</t>
  </si>
  <si>
    <t>Attività di distribuzione cinematografica, di video e di programmi televisivi</t>
  </si>
  <si>
    <t>59.14.00</t>
  </si>
  <si>
    <t>Attività di proiezione cinematografica</t>
  </si>
  <si>
    <t>59.20.10</t>
  </si>
  <si>
    <t>Edizione di registrazioni sonore</t>
  </si>
  <si>
    <t>59.20.20</t>
  </si>
  <si>
    <t>Edizione di musica stampata</t>
  </si>
  <si>
    <t>59.20.30</t>
  </si>
  <si>
    <t>Studi di registrazione sonora</t>
  </si>
  <si>
    <t>60.10.00</t>
  </si>
  <si>
    <t>Trasmissioni radiofoniche</t>
  </si>
  <si>
    <t>60.20.00</t>
  </si>
  <si>
    <t>Programmazione e trasmissioni televisive</t>
  </si>
  <si>
    <t>61.10.00</t>
  </si>
  <si>
    <t>Telecomunicazioni fisse</t>
  </si>
  <si>
    <t>61.20.00</t>
  </si>
  <si>
    <t>Telecomunicazioni mobili</t>
  </si>
  <si>
    <t>61.30.00</t>
  </si>
  <si>
    <t>Telecomunicazioni satellitari</t>
  </si>
  <si>
    <t>61.90.10</t>
  </si>
  <si>
    <t>Erogazione di servizi di accesso ad internet (ISP)</t>
  </si>
  <si>
    <t>61.90.20</t>
  </si>
  <si>
    <t>Posto telefonico pubblico ed Internet Point</t>
  </si>
  <si>
    <t>61.90.91</t>
  </si>
  <si>
    <t>Intermediazione in servizi di telecomunicazione e trasmissione dati</t>
  </si>
  <si>
    <t>61.90.99</t>
  </si>
  <si>
    <t>Altre attività connesse alle telecomunicazioni n.c.a.</t>
  </si>
  <si>
    <t>62.01.00</t>
  </si>
  <si>
    <t>Produzione di software non connesso all'edizione</t>
  </si>
  <si>
    <t>62.02.00</t>
  </si>
  <si>
    <t>Consulenza nel settore delle tecnologie dell'informatica</t>
  </si>
  <si>
    <t>62.03.00</t>
  </si>
  <si>
    <t>Gestione di strutture e apparecchiature informatiche hardware - housing (esclusa la riparazione)</t>
  </si>
  <si>
    <t>62.09.01</t>
  </si>
  <si>
    <t>Configurazione di personal computer</t>
  </si>
  <si>
    <t>62.09.09</t>
  </si>
  <si>
    <t>Altre attività dei servizi connessi alle tecnologie dell'informatica n.c.a.</t>
  </si>
  <si>
    <t>63.11.11</t>
  </si>
  <si>
    <t>Elaborazione elettronica di dati contabili (esclusi i Centri di assistenza fiscale - Caf)</t>
  </si>
  <si>
    <t>63.11.19</t>
  </si>
  <si>
    <t>Altre elaborazioni elettroniche di dati</t>
  </si>
  <si>
    <t>63.11.20</t>
  </si>
  <si>
    <t>Gestione database (attività delle banche dati)</t>
  </si>
  <si>
    <t>63.11.30</t>
  </si>
  <si>
    <t>Hosting e fornitura di servizi applicativi (ASP)</t>
  </si>
  <si>
    <t>63.12.00</t>
  </si>
  <si>
    <t>Portali web</t>
  </si>
  <si>
    <t>63.91.00</t>
  </si>
  <si>
    <t>Attività delle agenzie di stampa</t>
  </si>
  <si>
    <t>63.99.00</t>
  </si>
  <si>
    <t>Altre attività dei servizi di informazione n.c.a.</t>
  </si>
  <si>
    <t>64.11.00</t>
  </si>
  <si>
    <t>Attività della Banca Centrale</t>
  </si>
  <si>
    <t>64.19.10</t>
  </si>
  <si>
    <t>Intermediazione monetaria di istituti monetari diverse dalle Banche centrali</t>
  </si>
  <si>
    <t>64.19.20</t>
  </si>
  <si>
    <t>Fondi comuni di investimento monetario</t>
  </si>
  <si>
    <t>64.19.30</t>
  </si>
  <si>
    <t>Istituti di moneta elettronica (Imel)</t>
  </si>
  <si>
    <t>64.19.40</t>
  </si>
  <si>
    <t>Cassa Depositi e Prestiti</t>
  </si>
  <si>
    <t>64.20.00</t>
  </si>
  <si>
    <t>Attività delle società di partecipazione (holding)</t>
  </si>
  <si>
    <t>64.30.10</t>
  </si>
  <si>
    <t>Fondi comuni di investimento (aperti e chiusi, immobiliari, di mercato mobiliare)</t>
  </si>
  <si>
    <t>64.30.20</t>
  </si>
  <si>
    <t>Sicav (Società di investimento a capitale variabile)</t>
  </si>
  <si>
    <t>64.91.00</t>
  </si>
  <si>
    <t>Leasing finanziario</t>
  </si>
  <si>
    <t>64.92.01</t>
  </si>
  <si>
    <t>Attività dei consorzi di garanzia collettiva fidi</t>
  </si>
  <si>
    <t>64.92.09</t>
  </si>
  <si>
    <t>Altre attività creditizie n.c.a.</t>
  </si>
  <si>
    <t>64.99.10</t>
  </si>
  <si>
    <t>Attività di intermediazione mobiliare</t>
  </si>
  <si>
    <t>64.99.20</t>
  </si>
  <si>
    <t>Attività di factoring</t>
  </si>
  <si>
    <t>64.99.30</t>
  </si>
  <si>
    <t>Attività di merchant bank</t>
  </si>
  <si>
    <t>64.99.40</t>
  </si>
  <si>
    <t>Attività delle società veicolo</t>
  </si>
  <si>
    <t>64.99.50</t>
  </si>
  <si>
    <t>Attività di intermediazione in cambi</t>
  </si>
  <si>
    <t>64.99.60</t>
  </si>
  <si>
    <t>Altre intermediazioni finanziarie n.c.a.</t>
  </si>
  <si>
    <t>65.11.00</t>
  </si>
  <si>
    <t>Assicurazioni sulla vita</t>
  </si>
  <si>
    <t>65.12.00</t>
  </si>
  <si>
    <t>Assicurazioni diverse da quelle sulla vita</t>
  </si>
  <si>
    <t>65.20.00</t>
  </si>
  <si>
    <t>Attività di riassicurazione</t>
  </si>
  <si>
    <t>65.30.10</t>
  </si>
  <si>
    <t>Attività dei fondi pensione aperti</t>
  </si>
  <si>
    <t>65.30.20</t>
  </si>
  <si>
    <t>Attività dei fondi pensione negoziali</t>
  </si>
  <si>
    <t>65.30.30</t>
  </si>
  <si>
    <t>Attività dei fondi pensione preesistenti</t>
  </si>
  <si>
    <t>66.11.00</t>
  </si>
  <si>
    <t>Amministrazione di mercati finanziari</t>
  </si>
  <si>
    <t>66.12.00</t>
  </si>
  <si>
    <t>Attività di negoziazione di contratti relativi a titoli e merci</t>
  </si>
  <si>
    <t>66.19.10</t>
  </si>
  <si>
    <t>Attività di gestione ed elaborazione di pagamenti tramite carta di credito</t>
  </si>
  <si>
    <t>66.19.21</t>
  </si>
  <si>
    <t>Attività di consulenti finanziari abilitati all'offerta fuori sede</t>
  </si>
  <si>
    <t>66.19.22</t>
  </si>
  <si>
    <t>Attività di agenti, mediatori e procacciatori in prodotti finanziari</t>
  </si>
  <si>
    <t>66.19.30</t>
  </si>
  <si>
    <t>Attività delle società fiduciarie di amministrazione</t>
  </si>
  <si>
    <t>66.19.40</t>
  </si>
  <si>
    <t>Attività di Bancoposta</t>
  </si>
  <si>
    <t>66.19.50</t>
  </si>
  <si>
    <t>Servizi di trasferimento di denaro (money transfer)</t>
  </si>
  <si>
    <t>66.21.00</t>
  </si>
  <si>
    <t>Attività dei periti e liquidatori indipendenti delle assicurazioni</t>
  </si>
  <si>
    <t>66.22.01</t>
  </si>
  <si>
    <t>Broker di assicurazioni</t>
  </si>
  <si>
    <t>66.22.02</t>
  </si>
  <si>
    <t>Agenti di assicurazioni</t>
  </si>
  <si>
    <t>66.22.03</t>
  </si>
  <si>
    <t>Sub-agenti di assicurazioni</t>
  </si>
  <si>
    <t>66.22.04</t>
  </si>
  <si>
    <t>Produttori, procacciatori ed altri intermediari delle assicurazioni</t>
  </si>
  <si>
    <t>66.29.01</t>
  </si>
  <si>
    <t>Autorità centrali di vigilanza su assicurazioni e fondi pensione</t>
  </si>
  <si>
    <t>66.29.09</t>
  </si>
  <si>
    <t>Altre attività ausiliarie delle assicurazioni e dei fondi pensione n.c.a.</t>
  </si>
  <si>
    <t>66.30.00</t>
  </si>
  <si>
    <t>Gestione di fondi comuni di investimento e dei fondi pensione</t>
  </si>
  <si>
    <t>68.10.00</t>
  </si>
  <si>
    <t>Compravendita di beni immobili effettuata su beni propri</t>
  </si>
  <si>
    <t>68.20.01</t>
  </si>
  <si>
    <t>Locazione immobiliare di beni propri o in leasing (affitto)</t>
  </si>
  <si>
    <t>68.20.02</t>
  </si>
  <si>
    <t>Affitto di aziende</t>
  </si>
  <si>
    <t>68.31.00</t>
  </si>
  <si>
    <t>Attività di mediazione immobiliare</t>
  </si>
  <si>
    <t>68.32.00</t>
  </si>
  <si>
    <t>Amministrazione di condomini e gestione di beni immobili per conto terzi</t>
  </si>
  <si>
    <t>69.10.10</t>
  </si>
  <si>
    <t>Attività degli studi legali</t>
  </si>
  <si>
    <t>69.10.20</t>
  </si>
  <si>
    <t>Attività degli studi notarili</t>
  </si>
  <si>
    <t>69.20.11</t>
  </si>
  <si>
    <t>Servizi forniti da commercialisti</t>
  </si>
  <si>
    <t>69.20.12</t>
  </si>
  <si>
    <t>Servizi forniti da esperti contabili</t>
  </si>
  <si>
    <t>69.20.13</t>
  </si>
  <si>
    <t>Servizi forniti da revisori contabili, periti, consulenti ed altri soggetti che svolgono attività in materia di amministrazione, contabilità e tributi</t>
  </si>
  <si>
    <t>69.20.14</t>
  </si>
  <si>
    <t>Attività svolta dai Centri di assistenza fiscale (Caf)</t>
  </si>
  <si>
    <t>69.20.15</t>
  </si>
  <si>
    <t>Gestione ed amministrazione del personale per conto terzi</t>
  </si>
  <si>
    <t>69.20.20</t>
  </si>
  <si>
    <t>Attività delle società di revisione e certificazione di bilanci</t>
  </si>
  <si>
    <t>69.20.30</t>
  </si>
  <si>
    <t>Attività dei consulenti del lavoro</t>
  </si>
  <si>
    <t>70.10.00</t>
  </si>
  <si>
    <t>Attività delle holding impegnate nelle attività gestionali (holding operative)</t>
  </si>
  <si>
    <t>70.21.00</t>
  </si>
  <si>
    <t>Pubbliche relazioni e comunicazione</t>
  </si>
  <si>
    <t>70.22.01</t>
  </si>
  <si>
    <t>Attività di consulenza per la gestione della logistica aziendale</t>
  </si>
  <si>
    <t>70.22.09</t>
  </si>
  <si>
    <t>Altre attività di consulenza imprenditoriale e altra consulenza amministrativo-gestionale e pianificazione aziendale</t>
  </si>
  <si>
    <t>71.11.00</t>
  </si>
  <si>
    <t>Attività degli studi di architettura</t>
  </si>
  <si>
    <t>71.12.10</t>
  </si>
  <si>
    <t>Attività degli studi di ingegneria</t>
  </si>
  <si>
    <t>71.12.20</t>
  </si>
  <si>
    <t>Servizi di progettazione di ingegneria integrata</t>
  </si>
  <si>
    <t>71.12.30</t>
  </si>
  <si>
    <t>Attività tecniche svolte da geometri</t>
  </si>
  <si>
    <t>71.12.40</t>
  </si>
  <si>
    <t>Attività di cartografia e aerofotogrammetria</t>
  </si>
  <si>
    <t>71.12.50</t>
  </si>
  <si>
    <t>Attività di studio geologico e di prospezione geognostica e mineraria</t>
  </si>
  <si>
    <t>71.20.10</t>
  </si>
  <si>
    <t>Collaudi e analisi tecniche di prodotti</t>
  </si>
  <si>
    <t>71.20.21</t>
  </si>
  <si>
    <t>Controllo di qualità e certificazione di prodotti, processi e sistemi</t>
  </si>
  <si>
    <t>71.20.22</t>
  </si>
  <si>
    <t>Attività per la tutela di beni di produzione controllata</t>
  </si>
  <si>
    <t>71.20.23</t>
  </si>
  <si>
    <t>Revisione periodica a norma di legge dell'idoneità alla circolazione degli autoveicoli e motoveicoli</t>
  </si>
  <si>
    <t>72.11.00</t>
  </si>
  <si>
    <t>Ricerca e sviluppo sperimentale nel campo delle biotecnologie</t>
  </si>
  <si>
    <t>72.19.01</t>
  </si>
  <si>
    <t>Ricerca e sviluppo sperimentale nel campo della geologia</t>
  </si>
  <si>
    <t>72.19.09</t>
  </si>
  <si>
    <t>Ricerca e sviluppo sperimentale nel campo delle altre scienze naturali e dell'ingegneria</t>
  </si>
  <si>
    <t>72.20.00</t>
  </si>
  <si>
    <t>Ricerca e sviluppo sperimentale nel campo delle scienze sociali e umanistiche</t>
  </si>
  <si>
    <t>73.11.01</t>
  </si>
  <si>
    <t>Ideazione di campagne pubblicitarie</t>
  </si>
  <si>
    <t>73.11.02</t>
  </si>
  <si>
    <t>Conduzione di campagne di marketing e altri servizi pubblicitari</t>
  </si>
  <si>
    <t>73.12.00</t>
  </si>
  <si>
    <t>Attività delle concessionarie e degli altri intermediari di servizi pubblicitari</t>
  </si>
  <si>
    <t>73.20.00</t>
  </si>
  <si>
    <t>Ricerche di mercato e sondaggi di opinione</t>
  </si>
  <si>
    <t>74.10.10</t>
  </si>
  <si>
    <t>Attività di design di moda e design industriale</t>
  </si>
  <si>
    <t>74.10.21</t>
  </si>
  <si>
    <t>Attività dei disegnatori grafici di pagine web</t>
  </si>
  <si>
    <t>74.10.29</t>
  </si>
  <si>
    <t>Altre attività dei disegnatori grafici</t>
  </si>
  <si>
    <t>74.10.30</t>
  </si>
  <si>
    <t>Attività dei disegnatori tecnici</t>
  </si>
  <si>
    <t>74.10.90</t>
  </si>
  <si>
    <t>Altre attività di design</t>
  </si>
  <si>
    <t>74.20.11</t>
  </si>
  <si>
    <t>Attività di fotoreporter</t>
  </si>
  <si>
    <t>74.20.12</t>
  </si>
  <si>
    <t>Attività di riprese aeree nel campo della fotografia</t>
  </si>
  <si>
    <t>74.20.19</t>
  </si>
  <si>
    <t>Altre attività di riprese fotografiche</t>
  </si>
  <si>
    <t>74.20.20</t>
  </si>
  <si>
    <t>Laboratori fotografici per lo sviluppo e la stampa</t>
  </si>
  <si>
    <t>74.30.00</t>
  </si>
  <si>
    <t>Traduzione e interpretariato</t>
  </si>
  <si>
    <t>74.90.11</t>
  </si>
  <si>
    <t>Consulenza agraria fornita da agronomi</t>
  </si>
  <si>
    <t>74.90.12</t>
  </si>
  <si>
    <t>Consulenza agraria fornita da agrotecnici</t>
  </si>
  <si>
    <t>74.90.13</t>
  </si>
  <si>
    <t>Consulenza agraria fornita da periti agrari</t>
  </si>
  <si>
    <t>74.90.14</t>
  </si>
  <si>
    <t>Consulenza agraria fornita da altri economisti specializzati in agricoltura</t>
  </si>
  <si>
    <t>74.90.21</t>
  </si>
  <si>
    <t>Consulenza sulla sicurezza ed igiene dei posti di lavoro</t>
  </si>
  <si>
    <t>74.90.29</t>
  </si>
  <si>
    <t>Altra attività di consulenza in materia di sicurezza</t>
  </si>
  <si>
    <t>74.90.31</t>
  </si>
  <si>
    <t>Attività di consulenza in materia di prevenzione e riduzione dell'inquinamento di aria, acqua e suolo; consulenza in materia di gestione dei rifiuti</t>
  </si>
  <si>
    <t>74.90.32</t>
  </si>
  <si>
    <t>Attività di consulenza in materia di gestione delle risorse energetiche, energie rinnovabili e efficienza energetica</t>
  </si>
  <si>
    <t>74.90.33</t>
  </si>
  <si>
    <t>Attività di consulenza in materia di gestione delle risorse idriche, minerali e altre risorse naturali usate per finalità diverse da quella energetica</t>
  </si>
  <si>
    <t>74.90.91</t>
  </si>
  <si>
    <t>Attività tecniche svolte da periti industriali</t>
  </si>
  <si>
    <t>74.90.92</t>
  </si>
  <si>
    <t>Attività riguardanti le previsioni meteorologiche</t>
  </si>
  <si>
    <t>74.90.93</t>
  </si>
  <si>
    <t>Altre attività di consulenza tecnica n.c.a.</t>
  </si>
  <si>
    <t>74.90.94</t>
  </si>
  <si>
    <t>Agenzie ed agenti o procuratori per lo spettacolo e lo sport</t>
  </si>
  <si>
    <t>74.90.99</t>
  </si>
  <si>
    <t>Altre attività professionali n.c.a.</t>
  </si>
  <si>
    <t>75.00.00</t>
  </si>
  <si>
    <t>Servizi veterinari</t>
  </si>
  <si>
    <t>77.11.00</t>
  </si>
  <si>
    <t>Noleggio di autovetture ed autoveicoli leggeri</t>
  </si>
  <si>
    <t>77.12.00</t>
  </si>
  <si>
    <t>77.21.01</t>
  </si>
  <si>
    <t>77.21.02</t>
  </si>
  <si>
    <t>Noleggio senza equipaggio di imbarcazioni da diporto (inclusi i pedalò)</t>
  </si>
  <si>
    <t>77.21.09</t>
  </si>
  <si>
    <t>Noleggio di altre attrezzature sportive e ricreative</t>
  </si>
  <si>
    <t>77.22.00</t>
  </si>
  <si>
    <t>Noleggio di videocassette, Cd, Dvd e dischi contenenti audiovisivi o videogame</t>
  </si>
  <si>
    <t>77.29.10</t>
  </si>
  <si>
    <t>Noleggio di biancheria da tavola, da letto, da bagno e di articoli di vestiario</t>
  </si>
  <si>
    <t>77.29.90</t>
  </si>
  <si>
    <t>Noleggio di altri beni per uso personale e domestico n.c.a. (escluse le attrezzature sportive e ricreative)</t>
  </si>
  <si>
    <t>77.31.00</t>
  </si>
  <si>
    <t>Noleggio di macchine e attrezzature agricole</t>
  </si>
  <si>
    <t>77.32.00</t>
  </si>
  <si>
    <t>Noleggio di macchine e attrezzature per lavori edili e di genio civile</t>
  </si>
  <si>
    <t>77.33.00</t>
  </si>
  <si>
    <t>Noleggio di macchine e attrezzature per ufficio (inclusi i computer)</t>
  </si>
  <si>
    <t>77.34.00</t>
  </si>
  <si>
    <t>Noleggio di mezzi di trasporto marittimo e fluviale</t>
  </si>
  <si>
    <t>77.35.00</t>
  </si>
  <si>
    <t>Noleggio di mezzi di trasporto aereo</t>
  </si>
  <si>
    <t>77.39.10</t>
  </si>
  <si>
    <t>Noleggio di altri mezzi di trasporto terrestri</t>
  </si>
  <si>
    <t>77.39.91</t>
  </si>
  <si>
    <t>Noleggio di container adibiti ad alloggi o ad uffici</t>
  </si>
  <si>
    <t>77.39.92</t>
  </si>
  <si>
    <t>Noleggio di container per diverse modalità di trasporto</t>
  </si>
  <si>
    <t>77.39.93</t>
  </si>
  <si>
    <t>Noleggio senza operatore di attrezzature di sollevamento e movimentazione merci: carrelli elevatori, pallet eccetera</t>
  </si>
  <si>
    <t>77.39.94</t>
  </si>
  <si>
    <t>Noleggio di strutture ed attrezzature per manifestazioni e spettacoli: impianti luce ed audio senza operatore, palchi, stand ed addobbi luminosi</t>
  </si>
  <si>
    <t>77.39.99</t>
  </si>
  <si>
    <t>Noleggio senza operatore di altre macchine ed attrezzature n.c.a.</t>
  </si>
  <si>
    <t>77.40.00</t>
  </si>
  <si>
    <t>Concessione dei diritti di sfruttamento di proprietà intellettuale e prodotti simili (escluse le opere protette dal copyright)</t>
  </si>
  <si>
    <t>78.10.00</t>
  </si>
  <si>
    <t>Servizi di ricerca, selezione, collocamento e supporto per il ricollocamento di personale</t>
  </si>
  <si>
    <t>78.20.00</t>
  </si>
  <si>
    <t>Attività delle agenzie di fornitura di lavoro temporaneo (interinale)</t>
  </si>
  <si>
    <t>78.30.00</t>
  </si>
  <si>
    <t>Altre attività di fornitura e gestione di risorse umane (staff leasing)</t>
  </si>
  <si>
    <t>79.11.00</t>
  </si>
  <si>
    <t>Attività delle agenzie di viaggio</t>
  </si>
  <si>
    <t>79.12.00</t>
  </si>
  <si>
    <t>Attività dei tour operator</t>
  </si>
  <si>
    <t>79.90.11</t>
  </si>
  <si>
    <t>Servizi di biglietteria per eventi teatrali, sportivi ed altri eventi ricreativi e d'intrattenimento</t>
  </si>
  <si>
    <t>79.90.19</t>
  </si>
  <si>
    <t>Altri servizi di prenotazione e altre attività di assistenza turistica non svolte dalle agenzie di viaggio n.c.a.</t>
  </si>
  <si>
    <t>79.90.20</t>
  </si>
  <si>
    <t>Attività delle guide e degli accompagnatori turistici</t>
  </si>
  <si>
    <t>80.10.00</t>
  </si>
  <si>
    <t>Servizi di vigilanza privata</t>
  </si>
  <si>
    <t>80.20.00</t>
  </si>
  <si>
    <t>Servizi connessi ai sistemi di vigilanza</t>
  </si>
  <si>
    <t>80.30.00</t>
  </si>
  <si>
    <t>Servizi di investigazione privata</t>
  </si>
  <si>
    <t>81.10.00</t>
  </si>
  <si>
    <t>Servizi integrati di gestione agli edifici</t>
  </si>
  <si>
    <t>81.21.00</t>
  </si>
  <si>
    <t>Pulizia generale (non specializzata) di edifici</t>
  </si>
  <si>
    <t>81.22.01</t>
  </si>
  <si>
    <t>Attività di sterilizzazione di attrezzature medico sanitarie</t>
  </si>
  <si>
    <t>81.22.02</t>
  </si>
  <si>
    <t>Altre attività di pulizia specializzata di edifici e di impianti e macchinari industriali</t>
  </si>
  <si>
    <t>81.29.10</t>
  </si>
  <si>
    <t>Servizi di disinfestazione</t>
  </si>
  <si>
    <t>81.29.91</t>
  </si>
  <si>
    <t>Pulizia e lavaggio di aree pubbliche, rimozione di neve e ghiaccio</t>
  </si>
  <si>
    <t>81.29.99</t>
  </si>
  <si>
    <t>Altre attività di pulizia n.c.a.</t>
  </si>
  <si>
    <t>81.30.00</t>
  </si>
  <si>
    <t>Cura e manutenzione del paesaggio (inclusi parchi, giardini e aiuole)</t>
  </si>
  <si>
    <t>82.11.01</t>
  </si>
  <si>
    <t>Servizi integrati di supporto per le funzioni d'ufficio</t>
  </si>
  <si>
    <t>82.11.02</t>
  </si>
  <si>
    <t>Gestione di uffici temporanei, uffici residence</t>
  </si>
  <si>
    <t>82.19.01</t>
  </si>
  <si>
    <t>Spedizione di materiale propagandistico, compilazione e gestione di indirizzi</t>
  </si>
  <si>
    <t>82.19.09</t>
  </si>
  <si>
    <t>Servizi di fotocopiatura, preparazione di documenti e altre attività di supporto specializzate per le funzioni d'ufficio</t>
  </si>
  <si>
    <t>82.20.00</t>
  </si>
  <si>
    <t>Attività dei call center</t>
  </si>
  <si>
    <t>82.30.00</t>
  </si>
  <si>
    <t>Organizzazione di convegni e fiere</t>
  </si>
  <si>
    <t>82.91.10</t>
  </si>
  <si>
    <t>Attività di agenzie di recupero crediti</t>
  </si>
  <si>
    <t>82.91.20</t>
  </si>
  <si>
    <t>Agenzie di informazioni commerciali</t>
  </si>
  <si>
    <t>82.92.10</t>
  </si>
  <si>
    <t>Imballaggio e confezionamento di generi alimentari</t>
  </si>
  <si>
    <t>82.92.20</t>
  </si>
  <si>
    <t>Imballaggio e confezionamento di generi non alimentari</t>
  </si>
  <si>
    <t>82.99.10</t>
  </si>
  <si>
    <t>Imprese di gestione esattoriale</t>
  </si>
  <si>
    <t>82.99.20</t>
  </si>
  <si>
    <t>Agenzie di distribuzione di libri, giornali e riviste</t>
  </si>
  <si>
    <t>82.99.30</t>
  </si>
  <si>
    <t>Servizi di gestione di pubblici mercati e pese pubbliche</t>
  </si>
  <si>
    <t>82.99.40</t>
  </si>
  <si>
    <t>Richiesta certificati e disbrigo pratiche</t>
  </si>
  <si>
    <t>82.99.91</t>
  </si>
  <si>
    <t>Servizi di stenotipia</t>
  </si>
  <si>
    <t>82.99.99</t>
  </si>
  <si>
    <t>Altri servizi di sostegno alle imprese n.c.a.</t>
  </si>
  <si>
    <t>84.11.10</t>
  </si>
  <si>
    <t>Attività degli organi legislativi ed esecutivi, centrali e locali; amministrazione finanziaria; amministrazioni regionali, provinciali e comunali</t>
  </si>
  <si>
    <t>84.11.20</t>
  </si>
  <si>
    <t>Attività di pianificazione generale e servizi statistici generali</t>
  </si>
  <si>
    <t>84.12.10</t>
  </si>
  <si>
    <t>Regolamentazione dell'attività degli organismi preposti alla sanità</t>
  </si>
  <si>
    <t>84.12.20</t>
  </si>
  <si>
    <t>Regolamentazione dell'attività degli organismi preposti all'istruzione</t>
  </si>
  <si>
    <t>84.12.30</t>
  </si>
  <si>
    <t>Regolamentazione dell'attività degli organismi preposti alla gestione di progetti per l'edilizia abitativa e l'assetto del territorio e per la tutela dell'ambiente</t>
  </si>
  <si>
    <t>84.12.40</t>
  </si>
  <si>
    <t>Regolamentazione dell'attività degli organismi preposti ai servizi ricreativi, culturali e sociali vari</t>
  </si>
  <si>
    <t>84.13.10</t>
  </si>
  <si>
    <t>Regolamentazione degli affari concernenti i combustibili e l'energia</t>
  </si>
  <si>
    <t>84.13.20</t>
  </si>
  <si>
    <t>Regolamentazione degli affari e servizi concernenti l'agricoltura, silvicoltura, caccia e pesca</t>
  </si>
  <si>
    <t>84.13.30</t>
  </si>
  <si>
    <t>Regolamentazione degli affari e dei servizi concernenti le industrie estrattive e le risorse minerarie (eccetto i combustibili), le industrie manifatturiere, le costruzioni e le opere pubbliche ad eccezione delle strade e opere per la navigazione</t>
  </si>
  <si>
    <t>84.13.40</t>
  </si>
  <si>
    <t>Regolamentazione degli affari e servizi concernenti la costruzione di strade</t>
  </si>
  <si>
    <t>84.13.50</t>
  </si>
  <si>
    <t>Regolamentazione degli affari e servizi concernenti la costruzione di opere per la navigazione interna e marittima</t>
  </si>
  <si>
    <t>84.13.60</t>
  </si>
  <si>
    <t>Regolamentazione degli affari e servizi concernenti i trasporti e le comunicazioni</t>
  </si>
  <si>
    <t>84.13.70</t>
  </si>
  <si>
    <t>Regolamentazione degli affari e servizi concernenti il commercio interno</t>
  </si>
  <si>
    <t>84.13.80</t>
  </si>
  <si>
    <t>Regolamentazione degli affari e servizi concernenti il turismo</t>
  </si>
  <si>
    <t>84.13.90</t>
  </si>
  <si>
    <t>Regolamentazione di altri affari e servizi economici</t>
  </si>
  <si>
    <t>84.21.00</t>
  </si>
  <si>
    <t>Affari esteri</t>
  </si>
  <si>
    <t>84.22.00</t>
  </si>
  <si>
    <t>Difesa nazionale</t>
  </si>
  <si>
    <t>84.23.00</t>
  </si>
  <si>
    <t>Giustizia ed attività giudiziarie</t>
  </si>
  <si>
    <t>84.24.00</t>
  </si>
  <si>
    <t>Ordine pubblico e sicurezza nazionale</t>
  </si>
  <si>
    <t>84.25.10</t>
  </si>
  <si>
    <t>Attività dei vigili del fuoco</t>
  </si>
  <si>
    <t>84.25.20</t>
  </si>
  <si>
    <t>Attività di protezione civile</t>
  </si>
  <si>
    <t>84.30.00</t>
  </si>
  <si>
    <t>Assicurazione sociale obbligatoria</t>
  </si>
  <si>
    <t>85.10.00</t>
  </si>
  <si>
    <t>Istruzione di grado preparatorio: scuole dell'infanzia, scuole speciali collegate a quelle primarie</t>
  </si>
  <si>
    <t>85.20.00</t>
  </si>
  <si>
    <t>Istruzione primaria: scuole elementari</t>
  </si>
  <si>
    <t>85.31.10</t>
  </si>
  <si>
    <t>Istruzione secondaria di primo grado: scuole medie</t>
  </si>
  <si>
    <t>85.31.20</t>
  </si>
  <si>
    <t>Istruzione secondaria di secondo grado di formazione generale: licei</t>
  </si>
  <si>
    <t>85.32.01</t>
  </si>
  <si>
    <t>Scuole di vela e navigazione che rilasciano brevetti o patenti commerciali</t>
  </si>
  <si>
    <t>85.32.02</t>
  </si>
  <si>
    <t>Scuole di volo che rilasciano brevetti o patenti commerciali</t>
  </si>
  <si>
    <t>85.32.03</t>
  </si>
  <si>
    <t>Scuole di guida professionale per autisti, ad esempio di autocarri, di autobus e di pullman</t>
  </si>
  <si>
    <t>85.32.09</t>
  </si>
  <si>
    <t>Altra istruzione secondaria di secondo grado di formazione tecnica, professionale e artistica</t>
  </si>
  <si>
    <t>85.41.00</t>
  </si>
  <si>
    <t>Istruzione e formazione tecnica superiore (IFTS)</t>
  </si>
  <si>
    <t>85.42.00</t>
  </si>
  <si>
    <t>Istruzione universitaria e post-universitaria; accademie e conservatori</t>
  </si>
  <si>
    <t>85.51.00</t>
  </si>
  <si>
    <t>Corsi sportivi e ricreativi</t>
  </si>
  <si>
    <t>85.52.01</t>
  </si>
  <si>
    <t>Corsi di danza</t>
  </si>
  <si>
    <t>85.52.09</t>
  </si>
  <si>
    <t>Altra formazione culturale</t>
  </si>
  <si>
    <t>85.53.00</t>
  </si>
  <si>
    <t>Autoscuole, scuole di pilotaggio e nautiche</t>
  </si>
  <si>
    <t>85.59.10</t>
  </si>
  <si>
    <t>Università popolare</t>
  </si>
  <si>
    <t>85.59.20</t>
  </si>
  <si>
    <t>Corsi di formazione e corsi di aggiornamento professionale</t>
  </si>
  <si>
    <t>85.59.30</t>
  </si>
  <si>
    <t>Scuole e corsi di lingua</t>
  </si>
  <si>
    <t>85.59.90</t>
  </si>
  <si>
    <t>Altri servizi di istruzione n.c.a.</t>
  </si>
  <si>
    <t>85.60.01</t>
  </si>
  <si>
    <t>Consulenza scolastica e servizi di orientamento scolastico</t>
  </si>
  <si>
    <t>85.60.09</t>
  </si>
  <si>
    <t>Altre attività di supporto all'istruzione</t>
  </si>
  <si>
    <t>86.10.10</t>
  </si>
  <si>
    <t>Ospedali e case di cura generici</t>
  </si>
  <si>
    <t>86.10.20</t>
  </si>
  <si>
    <t>Ospedali e case di cura specialistici</t>
  </si>
  <si>
    <t>86.10.30</t>
  </si>
  <si>
    <t>Istituti, cliniche e policlinici universitari</t>
  </si>
  <si>
    <t>86.10.40</t>
  </si>
  <si>
    <t>Ospedali e case di cura per lunga degenza</t>
  </si>
  <si>
    <t>86.21.00</t>
  </si>
  <si>
    <t>Servizi degli studi medici di medicina generale</t>
  </si>
  <si>
    <t>86.22.01</t>
  </si>
  <si>
    <t>Prestazioni sanitarie svolte da chirurghi</t>
  </si>
  <si>
    <t>86.22.02</t>
  </si>
  <si>
    <t>Ambulatori e poliambulatori del Servizio Sanitario Nazionale</t>
  </si>
  <si>
    <t>86.22.03</t>
  </si>
  <si>
    <t>Attività dei centri di radioterapia</t>
  </si>
  <si>
    <t>86.22.04</t>
  </si>
  <si>
    <t>Attività dei centri di dialisi</t>
  </si>
  <si>
    <t>86.22.05</t>
  </si>
  <si>
    <t>Studi di omeopatia e di agopuntura</t>
  </si>
  <si>
    <t>86.22.06</t>
  </si>
  <si>
    <t>Centri di medicina estetica</t>
  </si>
  <si>
    <t>86.22.09</t>
  </si>
  <si>
    <t>Altri studi medici specialistici e poliambulatori</t>
  </si>
  <si>
    <t>86.23.00</t>
  </si>
  <si>
    <t>Attività degli studi odontoiatrici</t>
  </si>
  <si>
    <t>86.90.11</t>
  </si>
  <si>
    <t>Laboratori radiografici</t>
  </si>
  <si>
    <t>86.90.12</t>
  </si>
  <si>
    <t>Laboratori di analisi cliniche</t>
  </si>
  <si>
    <t>86.90.13</t>
  </si>
  <si>
    <t>Laboratori di igiene e profilassi</t>
  </si>
  <si>
    <t>86.90.21</t>
  </si>
  <si>
    <t>Fisioterapia</t>
  </si>
  <si>
    <t>86.90.29</t>
  </si>
  <si>
    <t>Altre attività paramediche indipendenti n.c.a.</t>
  </si>
  <si>
    <t>86.90.30</t>
  </si>
  <si>
    <t>Attività svolta da psicologi</t>
  </si>
  <si>
    <t>86.90.41</t>
  </si>
  <si>
    <t>Attività degli ambulatori tricologici</t>
  </si>
  <si>
    <t>86.90.42</t>
  </si>
  <si>
    <t>Servizi di ambulanza, delle banche del sangue e altri servizi sanitari n.c.a.</t>
  </si>
  <si>
    <t>87.10.00</t>
  </si>
  <si>
    <t>Strutture di assistenza infermieristica residenziale per anziani</t>
  </si>
  <si>
    <t>87.20.00</t>
  </si>
  <si>
    <t>Strutture di assistenza residenziale per persone affette da ritardi mentali, disturbi mentali o che abusano di sostanze stupefacenti</t>
  </si>
  <si>
    <t>87.30.00</t>
  </si>
  <si>
    <t>Strutture di assistenza residenziale per anziani e disabili</t>
  </si>
  <si>
    <t>87.90.00</t>
  </si>
  <si>
    <t>Altre strutture di assistenza sociale residenziale</t>
  </si>
  <si>
    <t>88.10.00</t>
  </si>
  <si>
    <t>Assistenza sociale non residenziale per anziani e disabili</t>
  </si>
  <si>
    <t>88.91.00</t>
  </si>
  <si>
    <t>Servizi di asili nido; assistenza diurna per minori disabili</t>
  </si>
  <si>
    <t>88.99.00</t>
  </si>
  <si>
    <t>Altre attività di assistenza sociale non residenziale n.c.a.</t>
  </si>
  <si>
    <t>90.01.01</t>
  </si>
  <si>
    <t>Attività nel campo della recitazione</t>
  </si>
  <si>
    <t>90.01.09</t>
  </si>
  <si>
    <t>Altre rappresentazioni artistiche</t>
  </si>
  <si>
    <t>90.02.01</t>
  </si>
  <si>
    <t>Noleggio con operatore di strutture ed attrezzature per manifestazioni e spettacoli</t>
  </si>
  <si>
    <t>90.02.02</t>
  </si>
  <si>
    <t>Attività nel campo della regia</t>
  </si>
  <si>
    <t>90.02.09</t>
  </si>
  <si>
    <t>Altre attività di supporto alle rappresentazioni artistiche</t>
  </si>
  <si>
    <t>90.03.01</t>
  </si>
  <si>
    <t>Attività dei giornalisti indipendenti</t>
  </si>
  <si>
    <t>90.03.02</t>
  </si>
  <si>
    <t>Attività di conservazione e restauro di opere d'arte</t>
  </si>
  <si>
    <t>90.03.09</t>
  </si>
  <si>
    <t>Altre creazioni artistiche e letterarie</t>
  </si>
  <si>
    <t>90.04.00</t>
  </si>
  <si>
    <t>Gestione di teatri, sale da concerto e altre strutture artistiche</t>
  </si>
  <si>
    <t>91.01.00</t>
  </si>
  <si>
    <t>Attività di biblioteche ed archivi</t>
  </si>
  <si>
    <t>91.02.00</t>
  </si>
  <si>
    <t>Attività di musei</t>
  </si>
  <si>
    <t>91.03.00</t>
  </si>
  <si>
    <t>Gestione di luoghi e monumenti storici e attrazioni simili</t>
  </si>
  <si>
    <t>91.04.00</t>
  </si>
  <si>
    <t>Attività degli orti botanici, dei giardini zoologici e delle riserve naturali</t>
  </si>
  <si>
    <t>92.00.01</t>
  </si>
  <si>
    <t>Ricevitorie del Lotto, SuperEnalotto, Totocalcio eccetera</t>
  </si>
  <si>
    <t>92.00.02</t>
  </si>
  <si>
    <t>Gestione di apparecchi che consentono vincite in denaro funzionanti a moneta o a gettone</t>
  </si>
  <si>
    <t>92.00.09</t>
  </si>
  <si>
    <t>Altre attività connesse con le lotterie e le scommesse</t>
  </si>
  <si>
    <t>93.11.10</t>
  </si>
  <si>
    <t>Gestione di stadi</t>
  </si>
  <si>
    <t>93.11.20</t>
  </si>
  <si>
    <t>Gestione di piscine</t>
  </si>
  <si>
    <t>93.11.30</t>
  </si>
  <si>
    <t>Gestione di impianti sportivi polivalenti</t>
  </si>
  <si>
    <t>93.11.90</t>
  </si>
  <si>
    <t>Gestione di altri impianti sportivi n.c.a.</t>
  </si>
  <si>
    <t>93.12.00</t>
  </si>
  <si>
    <t>Attività di club sportivi</t>
  </si>
  <si>
    <t>93.13.00</t>
  </si>
  <si>
    <t>Gestione di palestre</t>
  </si>
  <si>
    <t>93.19.10</t>
  </si>
  <si>
    <t>Enti e organizzazioni sportive, promozione di eventi sportivi</t>
  </si>
  <si>
    <t>93.19.91</t>
  </si>
  <si>
    <t>Ricarica di bombole per attività subacquee</t>
  </si>
  <si>
    <t>93.19.92</t>
  </si>
  <si>
    <t>Attività delle guide alpine</t>
  </si>
  <si>
    <t>93.19.99</t>
  </si>
  <si>
    <t>Altre attività sportive n.c.a.</t>
  </si>
  <si>
    <t>93.29.10</t>
  </si>
  <si>
    <t>Discoteche, sale da ballo night-club e simili</t>
  </si>
  <si>
    <t>93.29.20</t>
  </si>
  <si>
    <t>Gestione di stabilimenti balneari: marittimi, lacuali e fluviali</t>
  </si>
  <si>
    <t>93.29.30</t>
  </si>
  <si>
    <t>Gestione di apparecchi che non consentono vincite in denaro funzionanti a moneta o a gettone</t>
  </si>
  <si>
    <t>93.29.90</t>
  </si>
  <si>
    <t>Altre attività di intrattenimento e di divertimento n.c.a.</t>
  </si>
  <si>
    <t>94.11.00</t>
  </si>
  <si>
    <t>Attività di organizzazione di datori di lavoro, federazioni di industria, commercio, artigianato e servizi, associazioni, unioni, federazioni fra istituzioni</t>
  </si>
  <si>
    <t>94.12.10</t>
  </si>
  <si>
    <t>Attività di federazioni e consigli di ordini e collegi professionali</t>
  </si>
  <si>
    <t>94.12.20</t>
  </si>
  <si>
    <t>Attività di associazioni professionali</t>
  </si>
  <si>
    <t>94.20.00</t>
  </si>
  <si>
    <t>Attività dei sindacati di lavoratori dipendenti</t>
  </si>
  <si>
    <t>94.91.00</t>
  </si>
  <si>
    <t>Attività delle organizzazioni religiose nell'esercizio del culto</t>
  </si>
  <si>
    <t>94.92.00</t>
  </si>
  <si>
    <t>Attività dei partiti e delle associazioni politiche</t>
  </si>
  <si>
    <t>94.99.10</t>
  </si>
  <si>
    <t>Attività di organizzazioni per la tutela degli interessi e dei diritti dei cittadini</t>
  </si>
  <si>
    <t>94.99.20</t>
  </si>
  <si>
    <t>Attività di organizzazioni che perseguono fini culturali, ricreativi e la coltivazione di hobby</t>
  </si>
  <si>
    <t>94.99.30</t>
  </si>
  <si>
    <t>Attività di organizzazioni patriottiche e associazioni combattentistiche</t>
  </si>
  <si>
    <t>94.99.40</t>
  </si>
  <si>
    <t>Attività di organizzazioni per la cooperazione e la solidarietà internazionale</t>
  </si>
  <si>
    <t>94.99.50</t>
  </si>
  <si>
    <t>Attività di organizzazioni per la filantropia</t>
  </si>
  <si>
    <t>94.99.60</t>
  </si>
  <si>
    <t>Attività di organizzazioni per la promozione e la difesa degli animali e dell'ambiente</t>
  </si>
  <si>
    <t>94.99.90</t>
  </si>
  <si>
    <t>Attività di altre organizzazioni associative n.c.a.</t>
  </si>
  <si>
    <t>95.11.00</t>
  </si>
  <si>
    <t>Riparazione e manutenzione di computer e periferiche</t>
  </si>
  <si>
    <t>95.12.01</t>
  </si>
  <si>
    <t>Riparazione e manutenzione di telefoni fissi, cordless e cellulari</t>
  </si>
  <si>
    <t>95.12.09</t>
  </si>
  <si>
    <t>Riparazione e manutenzione di altre apparecchiature per le comunicazioni</t>
  </si>
  <si>
    <t>95.21.00</t>
  </si>
  <si>
    <t>Riparazione di prodotti elettronici di consumo audio e video</t>
  </si>
  <si>
    <t>95.22.01</t>
  </si>
  <si>
    <t>Riparazione di elettrodomestici e di articoli per la casa</t>
  </si>
  <si>
    <t>95.22.02</t>
  </si>
  <si>
    <t>Riparazione di articoli per il giardinaggio</t>
  </si>
  <si>
    <t>95.23.00</t>
  </si>
  <si>
    <t>Riparazione di calzature e articoli da viaggio in pelle, cuoio o in altri materiali simili</t>
  </si>
  <si>
    <t>95.24.01</t>
  </si>
  <si>
    <t>Riparazione di mobili e di oggetti di arredamento</t>
  </si>
  <si>
    <t>95.24.02</t>
  </si>
  <si>
    <t>Laboratori di tappezzeria</t>
  </si>
  <si>
    <t>95.25.00</t>
  </si>
  <si>
    <t>Riparazione di orologi e di gioielli</t>
  </si>
  <si>
    <t>95.29.01</t>
  </si>
  <si>
    <t>Riparazione di strumenti musicali</t>
  </si>
  <si>
    <t>95.29.02</t>
  </si>
  <si>
    <t>Riparazione di articoli sportivi (escluse le armi sportive) e attrezzature da campeggio (incluse le biciclette)</t>
  </si>
  <si>
    <t>95.29.03</t>
  </si>
  <si>
    <t>Modifica e riparazione di articoli di vestiario non effettuate dalle sartorie</t>
  </si>
  <si>
    <t>95.29.04</t>
  </si>
  <si>
    <t>Servizi di riparazioni rapide, duplicazione chiavi, affilatura coltelli, stampa immediata su articoli tessili, incisioni rapide su metallo non prezioso</t>
  </si>
  <si>
    <t>95.29.09</t>
  </si>
  <si>
    <t>Riparazione di altri beni di consumo per uso personale e per la casa n.c.a.</t>
  </si>
  <si>
    <t>96.01.10</t>
  </si>
  <si>
    <t>Attività delle lavanderie industriali</t>
  </si>
  <si>
    <t>96.01.20</t>
  </si>
  <si>
    <t>Attività di lavanderie, tintorie tradizionali</t>
  </si>
  <si>
    <t>96.01.30</t>
  </si>
  <si>
    <t>Attività di lavanderie self-service</t>
  </si>
  <si>
    <t>96.02.01</t>
  </si>
  <si>
    <t>Servizi dei saloni di barbiere e parrucchiere</t>
  </si>
  <si>
    <t>96.02.02</t>
  </si>
  <si>
    <t>Servizi degli istituti di bellezza</t>
  </si>
  <si>
    <t>96.02.03</t>
  </si>
  <si>
    <t>Servizi di manicure e pedicure</t>
  </si>
  <si>
    <t>96.03.00</t>
  </si>
  <si>
    <t>Servizi di pompe funebri e attività connesse</t>
  </si>
  <si>
    <t>96.04.10</t>
  </si>
  <si>
    <t>Servizi di centri per il benessere fisico (esclusi gli stabilimenti termali)</t>
  </si>
  <si>
    <t>96.04.20</t>
  </si>
  <si>
    <t>Stabilimenti termali</t>
  </si>
  <si>
    <t>96.09.01</t>
  </si>
  <si>
    <t>Attività di sgombero di cantine, solai e garage</t>
  </si>
  <si>
    <t>96.09.02</t>
  </si>
  <si>
    <t>Attività di tatuaggio e piercing</t>
  </si>
  <si>
    <t>96.09.03</t>
  </si>
  <si>
    <t>Agenzie matrimoniali e d'incontro</t>
  </si>
  <si>
    <t>96.09.04</t>
  </si>
  <si>
    <t>96.09.05</t>
  </si>
  <si>
    <t>96.09.09</t>
  </si>
  <si>
    <t>Altre attività di servizi per la persona n.c.a.</t>
  </si>
  <si>
    <t>97.00.01</t>
  </si>
  <si>
    <t>Attività di famiglie e convivenze come datori di lavoro per personale domestico (esclusi i condomini)</t>
  </si>
  <si>
    <t>97.00.02</t>
  </si>
  <si>
    <t>Attività di condomini</t>
  </si>
  <si>
    <t>98.10.00</t>
  </si>
  <si>
    <t>Produzione di beni indifferenziati per uso proprio da parte di famiglie e convivenze</t>
  </si>
  <si>
    <t>98.20.00</t>
  </si>
  <si>
    <t>Produzione di servizi indifferenziati per uso proprio da parte di famiglie e convivenze</t>
  </si>
  <si>
    <t>99.00.00</t>
  </si>
  <si>
    <t>Organizzazioni ed organismi extraterritoriali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</si>
</sst>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€-2]\ #,##0.00"/>
    <numFmt numFmtId="165" formatCode="d/m/yyyy"/>
    <numFmt numFmtId="166" formatCode="_-[$€-2]* #,##0.00_-;_-[$€-2]* \-#,##0.00_-;_-[$€-2]* &quot;-&quot;??_-;_-@"/>
    <numFmt numFmtId="167" formatCode="dd/mm/yy"/>
    <numFmt numFmtId="168" formatCode="d/m/yy"/>
  </numFmts>
  <fonts count="7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20"/>
      <color theme="1"/>
      <name val="Arial"/>
      <scheme val="minor"/>
    </font>
    <font>
      <sz val="10"/>
      <color theme="1"/>
      <name val="Arial"/>
    </font>
    <font>
      <sz val="10"/>
      <color rgb="FF181A1B"/>
      <name val="Arial"/>
      <scheme val="minor"/>
    </font>
    <font>
      <sz val="10"/>
      <color rgb="FFFFFFFF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1" fillId="3" borderId="0" xfId="0" applyFont="1" applyFill="1" applyAlignment="1"/>
    <xf numFmtId="0" fontId="2" fillId="0" borderId="0" xfId="0" applyFont="1" applyAlignment="1"/>
    <xf numFmtId="164" fontId="2" fillId="0" borderId="0" xfId="0" applyNumberFormat="1" applyFont="1"/>
    <xf numFmtId="14" fontId="2" fillId="0" borderId="0" xfId="0" applyNumberFormat="1" applyFont="1" applyAlignment="1"/>
    <xf numFmtId="164" fontId="2" fillId="0" borderId="0" xfId="0" applyNumberFormat="1" applyFont="1" applyAlignment="1"/>
    <xf numFmtId="0" fontId="1" fillId="3" borderId="0" xfId="0" applyFont="1" applyFill="1"/>
    <xf numFmtId="165" fontId="2" fillId="0" borderId="0" xfId="0" applyNumberFormat="1" applyFont="1" applyAlignment="1"/>
    <xf numFmtId="166" fontId="2" fillId="0" borderId="0" xfId="0" applyNumberFormat="1" applyFont="1"/>
    <xf numFmtId="0" fontId="1" fillId="4" borderId="0" xfId="0" applyFont="1" applyFill="1" applyAlignment="1"/>
    <xf numFmtId="167" fontId="4" fillId="0" borderId="0" xfId="0" applyNumberFormat="1" applyFont="1" applyAlignment="1">
      <alignment horizontal="right"/>
    </xf>
    <xf numFmtId="0" fontId="4" fillId="0" borderId="0" xfId="0" applyFont="1" applyAlignme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7" fontId="2" fillId="0" borderId="0" xfId="0" applyNumberFormat="1" applyFont="1" applyAlignment="1"/>
    <xf numFmtId="0" fontId="2" fillId="0" borderId="0" xfId="0" applyFont="1"/>
    <xf numFmtId="0" fontId="5" fillId="0" borderId="0" xfId="0" applyFont="1" applyAlignment="1"/>
    <xf numFmtId="167" fontId="5" fillId="0" borderId="0" xfId="0" applyNumberFormat="1" applyFont="1" applyAlignment="1"/>
    <xf numFmtId="164" fontId="5" fillId="0" borderId="0" xfId="0" applyNumberFormat="1" applyFont="1" applyAlignment="1"/>
    <xf numFmtId="168" fontId="2" fillId="0" borderId="0" xfId="0" applyNumberFormat="1" applyFont="1" applyAlignment="1"/>
    <xf numFmtId="9" fontId="2" fillId="0" borderId="0" xfId="0" applyNumberFormat="1" applyFont="1" applyAlignment="1"/>
    <xf numFmtId="0" fontId="1" fillId="5" borderId="0" xfId="0" applyFont="1" applyFill="1" applyAlignment="1"/>
    <xf numFmtId="10" fontId="2" fillId="0" borderId="0" xfId="0" applyNumberFormat="1" applyFont="1" applyAlignment="1"/>
    <xf numFmtId="0" fontId="6" fillId="5" borderId="0" xfId="0" applyFont="1" applyFill="1"/>
    <xf numFmtId="10" fontId="2" fillId="0" borderId="0" xfId="0" applyNumberFormat="1" applyFont="1"/>
    <xf numFmtId="0" fontId="2" fillId="0" borderId="0" xfId="0" quotePrefix="1" applyFont="1" applyAlignment="1"/>
    <xf numFmtId="0" fontId="1" fillId="2" borderId="0" xfId="0" applyFont="1" applyFill="1" applyAlignment="1"/>
    <xf numFmtId="0" fontId="0" fillId="0" borderId="0" xfId="0" applyFont="1" applyAlignment="1"/>
    <xf numFmtId="0" fontId="1" fillId="3" borderId="0" xfId="0" applyFont="1" applyFill="1" applyAlignment="1"/>
    <xf numFmtId="164" fontId="3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/>
    <xf numFmtId="0" fontId="2" fillId="0" borderId="0" xfId="0" applyFont="1" applyAlignme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tabSelected="1" workbookViewId="0">
      <selection activeCell="B9" sqref="B9"/>
    </sheetView>
  </sheetViews>
  <sheetFormatPr defaultColWidth="12.5703125" defaultRowHeight="15.75" customHeight="1"/>
  <cols>
    <col min="1" max="1" width="24.140625" customWidth="1"/>
    <col min="5" max="5" width="14.140625" customWidth="1"/>
  </cols>
  <sheetData>
    <row r="1" spans="1:11">
      <c r="A1" s="1" t="s">
        <v>0</v>
      </c>
      <c r="B1" s="2"/>
      <c r="D1" s="28" t="s">
        <v>1</v>
      </c>
      <c r="E1" s="29"/>
      <c r="F1" s="28" t="s">
        <v>2</v>
      </c>
      <c r="G1" s="29"/>
      <c r="H1" s="30" t="s">
        <v>3</v>
      </c>
      <c r="I1" s="29"/>
    </row>
    <row r="2" spans="1:11">
      <c r="A2" s="4" t="s">
        <v>4</v>
      </c>
      <c r="B2" s="5">
        <f ca="1">Calcoli!B1</f>
        <v>0</v>
      </c>
      <c r="D2" s="31">
        <f ca="1">B2</f>
        <v>0</v>
      </c>
      <c r="E2" s="29"/>
      <c r="F2" s="31">
        <f ca="1">B3</f>
        <v>0</v>
      </c>
      <c r="G2" s="29"/>
      <c r="H2" s="31">
        <f ca="1">SUM(B7:B11)</f>
        <v>0</v>
      </c>
      <c r="I2" s="29"/>
      <c r="J2" s="6"/>
      <c r="K2" s="7"/>
    </row>
    <row r="3" spans="1:11">
      <c r="A3" s="4" t="s">
        <v>5</v>
      </c>
      <c r="B3" s="5">
        <f ca="1">MAX(0,B2-H2)</f>
        <v>0</v>
      </c>
      <c r="D3" s="29"/>
      <c r="E3" s="29"/>
      <c r="F3" s="29"/>
      <c r="G3" s="29"/>
      <c r="H3" s="29"/>
      <c r="I3" s="29"/>
      <c r="K3" s="7"/>
    </row>
    <row r="4" spans="1:11">
      <c r="K4" s="7"/>
    </row>
    <row r="6" spans="1:11">
      <c r="A6" s="3" t="s">
        <v>6</v>
      </c>
      <c r="B6" s="8"/>
    </row>
    <row r="7" spans="1:11">
      <c r="A7" s="4" t="s">
        <v>7</v>
      </c>
      <c r="B7" s="5">
        <f ca="1">Calcoli!B8</f>
        <v>0</v>
      </c>
    </row>
    <row r="8" spans="1:11">
      <c r="A8" s="4" t="s">
        <v>8</v>
      </c>
      <c r="B8" s="5">
        <f ca="1">IF(Impostazioni!B3="Camera di Commercio",IF(Impostazioni!B6,0,IF(Impostazioni!B5,Calcoli!B17,Calcoli!B16)),IF(Impostazioni!B3="Gestione separata",Calcoli!B22,Calcoli!B27))</f>
        <v>0</v>
      </c>
      <c r="J8" s="9"/>
      <c r="K8" s="7"/>
    </row>
    <row r="9" spans="1:11">
      <c r="A9" s="4" t="s">
        <v>9</v>
      </c>
      <c r="B9" s="5">
        <f>Impostazioni!B7</f>
        <v>0</v>
      </c>
      <c r="J9" s="9"/>
      <c r="K9" s="7"/>
    </row>
    <row r="10" spans="1:11">
      <c r="A10" s="4" t="s">
        <v>10</v>
      </c>
      <c r="B10" s="7">
        <f>Calcoli!B5</f>
        <v>0</v>
      </c>
      <c r="J10" s="9"/>
      <c r="K10" s="7"/>
    </row>
    <row r="11" spans="1:11">
      <c r="A11" s="4" t="s">
        <v>11</v>
      </c>
      <c r="B11" s="5">
        <f>Impostazioni!B8</f>
        <v>0</v>
      </c>
      <c r="J11" s="9"/>
      <c r="K11" s="7"/>
    </row>
    <row r="12" spans="1:11">
      <c r="J12" s="9"/>
      <c r="K12" s="7"/>
    </row>
    <row r="13" spans="1:11">
      <c r="J13" s="6"/>
      <c r="K13" s="7"/>
    </row>
    <row r="15" spans="1:11">
      <c r="B15" s="10"/>
    </row>
  </sheetData>
  <mergeCells count="6">
    <mergeCell ref="D1:E1"/>
    <mergeCell ref="F1:G1"/>
    <mergeCell ref="H1:I1"/>
    <mergeCell ref="D2:E3"/>
    <mergeCell ref="F2:G3"/>
    <mergeCell ref="H2:I3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2"/>
  <sheetViews>
    <sheetView workbookViewId="0">
      <selection activeCell="E2" sqref="E2"/>
    </sheetView>
  </sheetViews>
  <sheetFormatPr defaultColWidth="12.5703125" defaultRowHeight="15.75" customHeight="1"/>
  <cols>
    <col min="1" max="1" width="7" customWidth="1"/>
    <col min="2" max="2" width="7.42578125" customWidth="1"/>
    <col min="3" max="3" width="28" customWidth="1"/>
    <col min="4" max="4" width="9.7109375" customWidth="1"/>
    <col min="5" max="5" width="15.28515625" customWidth="1"/>
    <col min="7" max="7" width="16.7109375" customWidth="1"/>
  </cols>
  <sheetData>
    <row r="1" spans="1:5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</row>
    <row r="2" spans="1:5">
      <c r="A2" s="13"/>
      <c r="B2" s="12"/>
      <c r="C2" s="13"/>
      <c r="D2" s="14"/>
      <c r="E2" s="13"/>
    </row>
    <row r="3" spans="1:5">
      <c r="A3" s="15"/>
      <c r="B3" s="12"/>
      <c r="C3" s="13"/>
      <c r="D3" s="14"/>
      <c r="E3" s="13"/>
    </row>
    <row r="4" spans="1:5">
      <c r="A4" s="15"/>
      <c r="B4" s="12"/>
      <c r="C4" s="13"/>
      <c r="D4" s="14"/>
      <c r="E4" s="13"/>
    </row>
    <row r="5" spans="1:5">
      <c r="A5" s="15"/>
      <c r="B5" s="12"/>
      <c r="C5" s="13"/>
      <c r="D5" s="14"/>
      <c r="E5" s="13"/>
    </row>
    <row r="6" spans="1:5">
      <c r="A6" s="15"/>
      <c r="B6" s="12"/>
      <c r="C6" s="13"/>
      <c r="D6" s="14"/>
      <c r="E6" s="13"/>
    </row>
    <row r="7" spans="1:5">
      <c r="A7" s="15"/>
      <c r="B7" s="12"/>
      <c r="C7" s="13"/>
      <c r="D7" s="14"/>
      <c r="E7" s="13"/>
    </row>
    <row r="8" spans="1:5">
      <c r="A8" s="15"/>
      <c r="B8" s="12"/>
      <c r="C8" s="13"/>
      <c r="D8" s="14"/>
      <c r="E8" s="13"/>
    </row>
    <row r="9" spans="1:5">
      <c r="A9" s="15"/>
      <c r="B9" s="12"/>
      <c r="C9" s="13"/>
      <c r="D9" s="14"/>
      <c r="E9" s="13"/>
    </row>
    <row r="10" spans="1:5">
      <c r="A10" s="15"/>
      <c r="B10" s="12"/>
      <c r="C10" s="13"/>
      <c r="D10" s="14"/>
      <c r="E10" s="13"/>
    </row>
    <row r="11" spans="1:5">
      <c r="A11" s="15"/>
      <c r="B11" s="12"/>
      <c r="C11" s="13"/>
      <c r="D11" s="14"/>
      <c r="E11" s="13"/>
    </row>
    <row r="12" spans="1:5">
      <c r="A12" s="15"/>
      <c r="B12" s="12"/>
      <c r="C12" s="13"/>
      <c r="D12" s="14"/>
      <c r="E12" s="13"/>
    </row>
    <row r="13" spans="1:5">
      <c r="A13" s="15"/>
      <c r="B13" s="12"/>
      <c r="C13" s="13"/>
      <c r="D13" s="14"/>
      <c r="E13" s="13"/>
    </row>
    <row r="14" spans="1:5">
      <c r="A14" s="15"/>
      <c r="B14" s="12"/>
      <c r="C14" s="13"/>
      <c r="D14" s="14"/>
      <c r="E14" s="13"/>
    </row>
    <row r="15" spans="1:5">
      <c r="A15" s="15"/>
      <c r="B15" s="12"/>
      <c r="C15" s="13"/>
      <c r="D15" s="14"/>
      <c r="E15" s="13"/>
    </row>
    <row r="16" spans="1:5">
      <c r="A16" s="15"/>
      <c r="B16" s="12"/>
      <c r="C16" s="13"/>
      <c r="D16" s="14"/>
      <c r="E16" s="13"/>
    </row>
    <row r="17" spans="1:24">
      <c r="A17" s="15"/>
      <c r="B17" s="12"/>
      <c r="C17" s="13"/>
      <c r="D17" s="14"/>
      <c r="E17" s="13"/>
    </row>
    <row r="18" spans="1:24">
      <c r="A18" s="15"/>
      <c r="B18" s="12"/>
      <c r="C18" s="13"/>
      <c r="D18" s="14"/>
      <c r="E18" s="13"/>
    </row>
    <row r="19" spans="1:24">
      <c r="A19" s="15"/>
      <c r="B19" s="12"/>
      <c r="C19" s="13"/>
      <c r="D19" s="14"/>
      <c r="E19" s="13"/>
    </row>
    <row r="20" spans="1:24">
      <c r="A20" s="15"/>
      <c r="B20" s="12"/>
      <c r="C20" s="13"/>
      <c r="D20" s="14"/>
      <c r="E20" s="13"/>
    </row>
    <row r="21" spans="1:24">
      <c r="A21" s="15"/>
      <c r="B21" s="12"/>
      <c r="C21" s="13"/>
      <c r="D21" s="14"/>
      <c r="E21" s="13"/>
    </row>
    <row r="22" spans="1:24">
      <c r="A22" s="15"/>
      <c r="B22" s="12"/>
      <c r="C22" s="13"/>
      <c r="D22" s="14"/>
      <c r="E22" s="13"/>
    </row>
    <row r="23" spans="1:24">
      <c r="A23" s="15"/>
      <c r="B23" s="12"/>
      <c r="C23" s="13"/>
      <c r="D23" s="14"/>
      <c r="E23" s="13"/>
    </row>
    <row r="24" spans="1:24">
      <c r="A24" s="15"/>
      <c r="B24" s="12"/>
      <c r="C24" s="13"/>
      <c r="D24" s="14"/>
      <c r="E24" s="13"/>
    </row>
    <row r="25" spans="1:24">
      <c r="A25" s="15"/>
      <c r="B25" s="12"/>
      <c r="C25" s="13"/>
      <c r="D25" s="14"/>
      <c r="E25" s="13"/>
    </row>
    <row r="26" spans="1:24">
      <c r="B26" s="16"/>
      <c r="D26" s="7"/>
      <c r="E26" s="17"/>
    </row>
    <row r="27" spans="1:24">
      <c r="A27" s="18"/>
      <c r="B27" s="19"/>
      <c r="D27" s="20"/>
      <c r="E27" s="17"/>
      <c r="U27" s="16"/>
      <c r="W27" s="7"/>
      <c r="X27" s="17"/>
    </row>
    <row r="28" spans="1:24">
      <c r="B28" s="16"/>
      <c r="D28" s="7"/>
      <c r="E28" s="13"/>
      <c r="I28" s="17"/>
      <c r="N28" s="17"/>
      <c r="S28" s="17"/>
      <c r="U28" s="16"/>
      <c r="W28" s="7"/>
      <c r="X28" s="17"/>
    </row>
    <row r="29" spans="1:24">
      <c r="B29" s="16"/>
      <c r="D29" s="7"/>
      <c r="E29" s="17"/>
      <c r="I29" s="17"/>
      <c r="N29" s="17"/>
      <c r="S29" s="17"/>
      <c r="U29" s="16"/>
      <c r="W29" s="7"/>
      <c r="X29" s="17"/>
    </row>
    <row r="30" spans="1:24">
      <c r="B30" s="16"/>
      <c r="D30" s="7"/>
      <c r="E30" s="13"/>
    </row>
    <row r="31" spans="1:24">
      <c r="B31" s="21"/>
      <c r="D31" s="7"/>
      <c r="E31" s="17"/>
    </row>
    <row r="32" spans="1:24">
      <c r="B32" s="16"/>
      <c r="D32" s="7"/>
      <c r="E32" s="13"/>
    </row>
    <row r="33" spans="2:5">
      <c r="B33" s="16"/>
      <c r="D33" s="7"/>
      <c r="E33" s="17"/>
    </row>
    <row r="34" spans="2:5">
      <c r="B34" s="16"/>
      <c r="D34" s="7"/>
      <c r="E34" s="17"/>
    </row>
    <row r="35" spans="2:5">
      <c r="E35" s="17"/>
    </row>
    <row r="36" spans="2:5">
      <c r="E36" s="17"/>
    </row>
    <row r="37" spans="2:5">
      <c r="E37" s="17"/>
    </row>
    <row r="38" spans="2:5">
      <c r="E38" s="17"/>
    </row>
    <row r="39" spans="2:5">
      <c r="E39" s="17"/>
    </row>
    <row r="40" spans="2:5">
      <c r="E40" s="17"/>
    </row>
    <row r="41" spans="2:5">
      <c r="E41" s="17"/>
    </row>
    <row r="42" spans="2:5">
      <c r="E42" s="17"/>
    </row>
    <row r="43" spans="2:5">
      <c r="E43" s="17"/>
    </row>
    <row r="44" spans="2:5">
      <c r="E44" s="17"/>
    </row>
    <row r="45" spans="2:5">
      <c r="E45" s="17"/>
    </row>
    <row r="46" spans="2:5">
      <c r="E46" s="17"/>
    </row>
    <row r="47" spans="2:5">
      <c r="E47" s="17"/>
    </row>
    <row r="48" spans="2:5">
      <c r="E48" s="17"/>
    </row>
    <row r="49" spans="5:5">
      <c r="E49" s="17"/>
    </row>
    <row r="50" spans="5:5">
      <c r="E50" s="17"/>
    </row>
    <row r="51" spans="5:5">
      <c r="E51" s="17"/>
    </row>
    <row r="52" spans="5:5">
      <c r="E52" s="17"/>
    </row>
    <row r="53" spans="5:5">
      <c r="E53" s="17"/>
    </row>
    <row r="54" spans="5:5">
      <c r="E54" s="17"/>
    </row>
    <row r="55" spans="5:5">
      <c r="E55" s="17"/>
    </row>
    <row r="56" spans="5:5">
      <c r="E56" s="17"/>
    </row>
    <row r="57" spans="5:5">
      <c r="E57" s="17"/>
    </row>
    <row r="58" spans="5:5">
      <c r="E58" s="17"/>
    </row>
    <row r="59" spans="5:5">
      <c r="E59" s="17"/>
    </row>
    <row r="60" spans="5:5">
      <c r="E60" s="17"/>
    </row>
    <row r="61" spans="5:5">
      <c r="E61" s="17"/>
    </row>
    <row r="62" spans="5:5">
      <c r="E62" s="17"/>
    </row>
    <row r="63" spans="5:5">
      <c r="E63" s="17"/>
    </row>
    <row r="64" spans="5:5">
      <c r="E64" s="17"/>
    </row>
    <row r="65" spans="5:5">
      <c r="E65" s="17"/>
    </row>
    <row r="66" spans="5:5">
      <c r="E66" s="17"/>
    </row>
    <row r="67" spans="5:5">
      <c r="E67" s="17"/>
    </row>
    <row r="68" spans="5:5">
      <c r="E68" s="17"/>
    </row>
    <row r="69" spans="5:5">
      <c r="E69" s="17"/>
    </row>
    <row r="70" spans="5:5">
      <c r="E70" s="17"/>
    </row>
    <row r="71" spans="5:5">
      <c r="E71" s="17"/>
    </row>
    <row r="72" spans="5:5">
      <c r="E72" s="17"/>
    </row>
    <row r="73" spans="5:5">
      <c r="E73" s="17"/>
    </row>
    <row r="74" spans="5:5">
      <c r="E74" s="17"/>
    </row>
    <row r="75" spans="5:5">
      <c r="E75" s="17"/>
    </row>
    <row r="76" spans="5:5">
      <c r="E76" s="17"/>
    </row>
    <row r="77" spans="5:5">
      <c r="E77" s="17"/>
    </row>
    <row r="78" spans="5:5">
      <c r="E78" s="17"/>
    </row>
    <row r="79" spans="5:5">
      <c r="E79" s="17"/>
    </row>
    <row r="80" spans="5:5">
      <c r="E80" s="17"/>
    </row>
    <row r="81" spans="5:5">
      <c r="E81" s="17"/>
    </row>
    <row r="82" spans="5:5">
      <c r="E82" s="17"/>
    </row>
    <row r="83" spans="5:5">
      <c r="E83" s="17"/>
    </row>
    <row r="84" spans="5:5">
      <c r="E84" s="17"/>
    </row>
    <row r="85" spans="5:5">
      <c r="E85" s="17"/>
    </row>
    <row r="86" spans="5:5">
      <c r="E86" s="17"/>
    </row>
    <row r="87" spans="5:5">
      <c r="E87" s="17"/>
    </row>
    <row r="88" spans="5:5">
      <c r="E88" s="17"/>
    </row>
    <row r="89" spans="5:5">
      <c r="E89" s="17"/>
    </row>
    <row r="90" spans="5:5">
      <c r="E90" s="17"/>
    </row>
    <row r="91" spans="5:5">
      <c r="E91" s="17"/>
    </row>
    <row r="92" spans="5:5">
      <c r="E92" s="17"/>
    </row>
    <row r="93" spans="5:5">
      <c r="E93" s="17"/>
    </row>
    <row r="94" spans="5:5">
      <c r="E94" s="17"/>
    </row>
    <row r="95" spans="5:5">
      <c r="E95" s="17"/>
    </row>
    <row r="96" spans="5:5">
      <c r="E96" s="17"/>
    </row>
    <row r="97" spans="5:5">
      <c r="E97" s="17"/>
    </row>
    <row r="98" spans="5:5">
      <c r="E98" s="17"/>
    </row>
    <row r="99" spans="5:5">
      <c r="E99" s="17"/>
    </row>
    <row r="100" spans="5:5">
      <c r="E100" s="17"/>
    </row>
    <row r="101" spans="5:5">
      <c r="E101" s="17"/>
    </row>
    <row r="102" spans="5:5">
      <c r="E102" s="17"/>
    </row>
    <row r="103" spans="5:5">
      <c r="E103" s="17"/>
    </row>
    <row r="104" spans="5:5">
      <c r="E104" s="17"/>
    </row>
    <row r="105" spans="5:5">
      <c r="E105" s="17"/>
    </row>
    <row r="106" spans="5:5">
      <c r="E106" s="17"/>
    </row>
    <row r="107" spans="5:5">
      <c r="E107" s="17"/>
    </row>
    <row r="108" spans="5:5">
      <c r="E108" s="17"/>
    </row>
    <row r="109" spans="5:5">
      <c r="E109" s="17"/>
    </row>
    <row r="110" spans="5:5">
      <c r="E110" s="17"/>
    </row>
    <row r="111" spans="5:5">
      <c r="E111" s="17"/>
    </row>
    <row r="112" spans="5:5">
      <c r="E112" s="17"/>
    </row>
    <row r="113" spans="5:5">
      <c r="E113" s="17"/>
    </row>
    <row r="114" spans="5:5">
      <c r="E114" s="17"/>
    </row>
    <row r="115" spans="5:5">
      <c r="E115" s="17"/>
    </row>
    <row r="116" spans="5:5">
      <c r="E116" s="17"/>
    </row>
    <row r="117" spans="5:5">
      <c r="E117" s="17"/>
    </row>
    <row r="118" spans="5:5">
      <c r="E118" s="17"/>
    </row>
    <row r="119" spans="5:5">
      <c r="E119" s="17"/>
    </row>
    <row r="120" spans="5:5">
      <c r="E120" s="17"/>
    </row>
    <row r="121" spans="5:5">
      <c r="E121" s="17"/>
    </row>
    <row r="122" spans="5:5">
      <c r="E122" s="17"/>
    </row>
    <row r="123" spans="5:5">
      <c r="E123" s="17"/>
    </row>
    <row r="124" spans="5:5">
      <c r="E124" s="17"/>
    </row>
    <row r="125" spans="5:5">
      <c r="E125" s="17"/>
    </row>
    <row r="126" spans="5:5">
      <c r="E126" s="17"/>
    </row>
    <row r="127" spans="5:5">
      <c r="E127" s="17"/>
    </row>
    <row r="128" spans="5:5">
      <c r="E128" s="17"/>
    </row>
    <row r="129" spans="5:5">
      <c r="E129" s="17"/>
    </row>
    <row r="130" spans="5:5">
      <c r="E130" s="17"/>
    </row>
    <row r="131" spans="5:5">
      <c r="E131" s="17"/>
    </row>
    <row r="132" spans="5:5">
      <c r="E132" s="17"/>
    </row>
    <row r="133" spans="5:5">
      <c r="E133" s="17"/>
    </row>
    <row r="134" spans="5:5">
      <c r="E134" s="17"/>
    </row>
    <row r="135" spans="5:5">
      <c r="E135" s="17"/>
    </row>
    <row r="136" spans="5:5">
      <c r="E136" s="17"/>
    </row>
    <row r="137" spans="5:5">
      <c r="E137" s="17"/>
    </row>
    <row r="138" spans="5:5">
      <c r="E138" s="17"/>
    </row>
    <row r="139" spans="5:5">
      <c r="E139" s="17"/>
    </row>
    <row r="140" spans="5:5">
      <c r="E140" s="17"/>
    </row>
    <row r="141" spans="5:5">
      <c r="E141" s="17"/>
    </row>
    <row r="142" spans="5:5">
      <c r="E142" s="17"/>
    </row>
    <row r="143" spans="5:5">
      <c r="E143" s="17"/>
    </row>
    <row r="144" spans="5:5">
      <c r="E144" s="17"/>
    </row>
    <row r="145" spans="5:5">
      <c r="E145" s="17"/>
    </row>
    <row r="146" spans="5:5">
      <c r="E146" s="17"/>
    </row>
    <row r="147" spans="5:5">
      <c r="E147" s="17"/>
    </row>
    <row r="148" spans="5:5">
      <c r="E148" s="17"/>
    </row>
    <row r="149" spans="5:5">
      <c r="E149" s="17"/>
    </row>
    <row r="150" spans="5:5">
      <c r="E150" s="17"/>
    </row>
    <row r="151" spans="5:5">
      <c r="E151" s="17"/>
    </row>
    <row r="152" spans="5:5">
      <c r="E152" s="17"/>
    </row>
    <row r="153" spans="5:5">
      <c r="E153" s="17"/>
    </row>
    <row r="154" spans="5:5">
      <c r="E154" s="17"/>
    </row>
    <row r="155" spans="5:5">
      <c r="E155" s="17"/>
    </row>
    <row r="156" spans="5:5">
      <c r="E156" s="17"/>
    </row>
    <row r="157" spans="5:5">
      <c r="E157" s="17"/>
    </row>
    <row r="158" spans="5:5">
      <c r="E158" s="17"/>
    </row>
    <row r="159" spans="5:5">
      <c r="E159" s="17"/>
    </row>
    <row r="160" spans="5:5">
      <c r="E160" s="17"/>
    </row>
    <row r="161" spans="5:5">
      <c r="E161" s="17"/>
    </row>
    <row r="162" spans="5:5">
      <c r="E162" s="17"/>
    </row>
    <row r="163" spans="5:5">
      <c r="E163" s="17"/>
    </row>
    <row r="164" spans="5:5">
      <c r="E164" s="17"/>
    </row>
    <row r="165" spans="5:5">
      <c r="E165" s="17"/>
    </row>
    <row r="166" spans="5:5">
      <c r="E166" s="17"/>
    </row>
    <row r="167" spans="5:5">
      <c r="E167" s="17"/>
    </row>
    <row r="168" spans="5:5">
      <c r="E168" s="17"/>
    </row>
    <row r="169" spans="5:5">
      <c r="E169" s="17"/>
    </row>
    <row r="170" spans="5:5">
      <c r="E170" s="17"/>
    </row>
    <row r="171" spans="5:5">
      <c r="E171" s="17"/>
    </row>
    <row r="172" spans="5:5">
      <c r="E172" s="17"/>
    </row>
    <row r="173" spans="5:5">
      <c r="E173" s="17"/>
    </row>
    <row r="174" spans="5:5">
      <c r="E174" s="17"/>
    </row>
    <row r="175" spans="5:5">
      <c r="E175" s="17"/>
    </row>
    <row r="176" spans="5:5">
      <c r="E176" s="17"/>
    </row>
    <row r="177" spans="5:5">
      <c r="E177" s="17"/>
    </row>
    <row r="178" spans="5:5">
      <c r="E178" s="17"/>
    </row>
    <row r="179" spans="5:5">
      <c r="E179" s="17"/>
    </row>
    <row r="180" spans="5:5">
      <c r="E180" s="17"/>
    </row>
    <row r="181" spans="5:5">
      <c r="E181" s="17"/>
    </row>
    <row r="182" spans="5:5">
      <c r="E182" s="17"/>
    </row>
    <row r="183" spans="5:5">
      <c r="E183" s="17"/>
    </row>
    <row r="184" spans="5:5">
      <c r="E184" s="17"/>
    </row>
    <row r="185" spans="5:5">
      <c r="E185" s="17"/>
    </row>
    <row r="186" spans="5:5">
      <c r="E186" s="17"/>
    </row>
    <row r="187" spans="5:5">
      <c r="E187" s="17"/>
    </row>
    <row r="188" spans="5:5">
      <c r="E188" s="17"/>
    </row>
    <row r="189" spans="5:5">
      <c r="E189" s="17"/>
    </row>
    <row r="190" spans="5:5">
      <c r="E190" s="17"/>
    </row>
    <row r="191" spans="5:5">
      <c r="E191" s="17"/>
    </row>
    <row r="192" spans="5:5">
      <c r="E192" s="17"/>
    </row>
    <row r="193" spans="5:5">
      <c r="E193" s="17"/>
    </row>
    <row r="194" spans="5:5">
      <c r="E194" s="17"/>
    </row>
    <row r="195" spans="5:5">
      <c r="E195" s="17"/>
    </row>
    <row r="196" spans="5:5">
      <c r="E196" s="17"/>
    </row>
    <row r="197" spans="5:5">
      <c r="E197" s="17"/>
    </row>
    <row r="198" spans="5:5">
      <c r="E198" s="17"/>
    </row>
    <row r="199" spans="5:5">
      <c r="E199" s="17"/>
    </row>
    <row r="200" spans="5:5">
      <c r="E200" s="17"/>
    </row>
    <row r="201" spans="5:5">
      <c r="E201" s="17"/>
    </row>
    <row r="202" spans="5:5">
      <c r="E202" s="17"/>
    </row>
    <row r="203" spans="5:5">
      <c r="E203" s="17"/>
    </row>
    <row r="204" spans="5:5">
      <c r="E204" s="17"/>
    </row>
    <row r="205" spans="5:5">
      <c r="E205" s="17"/>
    </row>
    <row r="206" spans="5:5">
      <c r="E206" s="17"/>
    </row>
    <row r="207" spans="5:5">
      <c r="E207" s="17"/>
    </row>
    <row r="208" spans="5:5">
      <c r="E208" s="17"/>
    </row>
    <row r="209" spans="5:5">
      <c r="E209" s="17"/>
    </row>
    <row r="210" spans="5:5">
      <c r="E210" s="17"/>
    </row>
    <row r="211" spans="5:5">
      <c r="E211" s="17"/>
    </row>
    <row r="212" spans="5:5">
      <c r="E212" s="17"/>
    </row>
    <row r="213" spans="5:5">
      <c r="E213" s="17"/>
    </row>
    <row r="214" spans="5:5">
      <c r="E214" s="17"/>
    </row>
    <row r="215" spans="5:5">
      <c r="E215" s="17"/>
    </row>
    <row r="216" spans="5:5">
      <c r="E216" s="17"/>
    </row>
    <row r="217" spans="5:5">
      <c r="E217" s="17"/>
    </row>
    <row r="218" spans="5:5">
      <c r="E218" s="17"/>
    </row>
    <row r="219" spans="5:5">
      <c r="E219" s="17"/>
    </row>
    <row r="220" spans="5:5">
      <c r="E220" s="17"/>
    </row>
    <row r="221" spans="5:5">
      <c r="E221" s="17"/>
    </row>
    <row r="222" spans="5:5">
      <c r="E222" s="17"/>
    </row>
    <row r="223" spans="5:5">
      <c r="E223" s="17"/>
    </row>
    <row r="224" spans="5:5">
      <c r="E224" s="17"/>
    </row>
    <row r="225" spans="5:5">
      <c r="E225" s="17"/>
    </row>
    <row r="226" spans="5:5">
      <c r="E226" s="17"/>
    </row>
    <row r="227" spans="5:5">
      <c r="E227" s="17"/>
    </row>
    <row r="228" spans="5:5">
      <c r="E228" s="17"/>
    </row>
    <row r="229" spans="5:5">
      <c r="E229" s="17"/>
    </row>
    <row r="230" spans="5:5">
      <c r="E230" s="17"/>
    </row>
    <row r="231" spans="5:5">
      <c r="E231" s="17"/>
    </row>
    <row r="232" spans="5:5">
      <c r="E232" s="17"/>
    </row>
    <row r="233" spans="5:5">
      <c r="E233" s="17"/>
    </row>
    <row r="234" spans="5:5">
      <c r="E234" s="17"/>
    </row>
    <row r="235" spans="5:5">
      <c r="E235" s="17"/>
    </row>
    <row r="236" spans="5:5">
      <c r="E236" s="17"/>
    </row>
    <row r="237" spans="5:5">
      <c r="E237" s="17"/>
    </row>
    <row r="238" spans="5:5">
      <c r="E238" s="17"/>
    </row>
    <row r="239" spans="5:5">
      <c r="E239" s="17"/>
    </row>
    <row r="240" spans="5:5">
      <c r="E240" s="17"/>
    </row>
    <row r="241" spans="5:5">
      <c r="E241" s="17"/>
    </row>
    <row r="242" spans="5:5">
      <c r="E242" s="17"/>
    </row>
    <row r="243" spans="5:5">
      <c r="E243" s="17"/>
    </row>
    <row r="244" spans="5:5">
      <c r="E244" s="17"/>
    </row>
    <row r="245" spans="5:5">
      <c r="E245" s="17"/>
    </row>
    <row r="246" spans="5:5">
      <c r="E246" s="17"/>
    </row>
    <row r="247" spans="5:5">
      <c r="E247" s="17"/>
    </row>
    <row r="248" spans="5:5">
      <c r="E248" s="17"/>
    </row>
    <row r="249" spans="5:5">
      <c r="E249" s="17"/>
    </row>
    <row r="250" spans="5:5">
      <c r="E250" s="17"/>
    </row>
    <row r="251" spans="5:5">
      <c r="E251" s="17"/>
    </row>
    <row r="252" spans="5:5">
      <c r="E252" s="17"/>
    </row>
    <row r="253" spans="5:5">
      <c r="E253" s="17"/>
    </row>
    <row r="254" spans="5:5">
      <c r="E254" s="17"/>
    </row>
    <row r="255" spans="5:5">
      <c r="E255" s="17"/>
    </row>
    <row r="256" spans="5:5">
      <c r="E256" s="17"/>
    </row>
    <row r="257" spans="5:5">
      <c r="E257" s="17"/>
    </row>
    <row r="258" spans="5:5">
      <c r="E258" s="17"/>
    </row>
    <row r="259" spans="5:5">
      <c r="E259" s="17"/>
    </row>
    <row r="260" spans="5:5">
      <c r="E260" s="17"/>
    </row>
    <row r="261" spans="5:5">
      <c r="E261" s="17"/>
    </row>
    <row r="262" spans="5:5">
      <c r="E262" s="17"/>
    </row>
    <row r="263" spans="5:5">
      <c r="E263" s="17"/>
    </row>
    <row r="264" spans="5:5">
      <c r="E264" s="17"/>
    </row>
    <row r="265" spans="5:5">
      <c r="E265" s="17"/>
    </row>
    <row r="266" spans="5:5">
      <c r="E266" s="17"/>
    </row>
    <row r="267" spans="5:5">
      <c r="E267" s="17"/>
    </row>
    <row r="268" spans="5:5">
      <c r="E268" s="17"/>
    </row>
    <row r="269" spans="5:5">
      <c r="E269" s="17"/>
    </row>
    <row r="270" spans="5:5">
      <c r="E270" s="17"/>
    </row>
    <row r="271" spans="5:5">
      <c r="E271" s="17"/>
    </row>
    <row r="272" spans="5:5">
      <c r="E272" s="17"/>
    </row>
    <row r="273" spans="5:5">
      <c r="E273" s="17"/>
    </row>
    <row r="274" spans="5:5">
      <c r="E274" s="17"/>
    </row>
    <row r="275" spans="5:5">
      <c r="E275" s="17"/>
    </row>
    <row r="276" spans="5:5">
      <c r="E276" s="17"/>
    </row>
    <row r="277" spans="5:5">
      <c r="E277" s="17"/>
    </row>
    <row r="278" spans="5:5">
      <c r="E278" s="17"/>
    </row>
    <row r="279" spans="5:5">
      <c r="E279" s="17"/>
    </row>
    <row r="280" spans="5:5">
      <c r="E280" s="17"/>
    </row>
    <row r="281" spans="5:5">
      <c r="E281" s="17"/>
    </row>
    <row r="282" spans="5:5">
      <c r="E282" s="17"/>
    </row>
    <row r="283" spans="5:5">
      <c r="E283" s="17"/>
    </row>
    <row r="284" spans="5:5">
      <c r="E284" s="17"/>
    </row>
    <row r="285" spans="5:5">
      <c r="E285" s="17"/>
    </row>
    <row r="286" spans="5:5">
      <c r="E286" s="17"/>
    </row>
    <row r="287" spans="5:5">
      <c r="E287" s="17"/>
    </row>
    <row r="288" spans="5:5">
      <c r="E288" s="17"/>
    </row>
    <row r="289" spans="5:5">
      <c r="E289" s="17"/>
    </row>
    <row r="290" spans="5:5">
      <c r="E290" s="17"/>
    </row>
    <row r="291" spans="5:5">
      <c r="E291" s="17"/>
    </row>
    <row r="292" spans="5:5">
      <c r="E292" s="17"/>
    </row>
    <row r="293" spans="5:5">
      <c r="E293" s="17"/>
    </row>
    <row r="294" spans="5:5">
      <c r="E294" s="17"/>
    </row>
    <row r="295" spans="5:5">
      <c r="E295" s="17"/>
    </row>
    <row r="296" spans="5:5">
      <c r="E296" s="17"/>
    </row>
    <row r="297" spans="5:5">
      <c r="E297" s="17"/>
    </row>
    <row r="298" spans="5:5">
      <c r="E298" s="17"/>
    </row>
    <row r="299" spans="5:5">
      <c r="E299" s="17"/>
    </row>
    <row r="300" spans="5:5">
      <c r="E300" s="17"/>
    </row>
    <row r="301" spans="5:5">
      <c r="E301" s="17"/>
    </row>
    <row r="302" spans="5:5">
      <c r="E302" s="17"/>
    </row>
    <row r="303" spans="5:5">
      <c r="E303" s="17"/>
    </row>
    <row r="304" spans="5:5">
      <c r="E304" s="17"/>
    </row>
    <row r="305" spans="5:5">
      <c r="E305" s="17"/>
    </row>
    <row r="306" spans="5:5">
      <c r="E306" s="17"/>
    </row>
    <row r="307" spans="5:5">
      <c r="E307" s="17"/>
    </row>
    <row r="308" spans="5:5">
      <c r="E308" s="17"/>
    </row>
    <row r="309" spans="5:5">
      <c r="E309" s="17"/>
    </row>
    <row r="310" spans="5:5">
      <c r="E310" s="17"/>
    </row>
    <row r="311" spans="5:5">
      <c r="E311" s="17"/>
    </row>
    <row r="312" spans="5:5">
      <c r="E312" s="17"/>
    </row>
    <row r="313" spans="5:5">
      <c r="E313" s="17"/>
    </row>
    <row r="314" spans="5:5">
      <c r="E314" s="17"/>
    </row>
    <row r="315" spans="5:5">
      <c r="E315" s="17"/>
    </row>
    <row r="316" spans="5:5">
      <c r="E316" s="17"/>
    </row>
    <row r="317" spans="5:5">
      <c r="E317" s="17"/>
    </row>
    <row r="318" spans="5:5">
      <c r="E318" s="17"/>
    </row>
    <row r="319" spans="5:5">
      <c r="E319" s="17"/>
    </row>
    <row r="320" spans="5:5">
      <c r="E320" s="17"/>
    </row>
    <row r="321" spans="5:5">
      <c r="E321" s="17"/>
    </row>
    <row r="322" spans="5:5">
      <c r="E322" s="17"/>
    </row>
    <row r="323" spans="5:5">
      <c r="E323" s="17"/>
    </row>
    <row r="324" spans="5:5">
      <c r="E324" s="17"/>
    </row>
    <row r="325" spans="5:5">
      <c r="E325" s="17"/>
    </row>
    <row r="326" spans="5:5">
      <c r="E326" s="17"/>
    </row>
    <row r="327" spans="5:5">
      <c r="E327" s="17"/>
    </row>
    <row r="328" spans="5:5">
      <c r="E328" s="17"/>
    </row>
    <row r="329" spans="5:5">
      <c r="E329" s="17"/>
    </row>
    <row r="330" spans="5:5">
      <c r="E330" s="17"/>
    </row>
    <row r="331" spans="5:5">
      <c r="E331" s="17"/>
    </row>
    <row r="332" spans="5:5">
      <c r="E332" s="17"/>
    </row>
    <row r="333" spans="5:5">
      <c r="E333" s="17"/>
    </row>
    <row r="334" spans="5:5">
      <c r="E334" s="17"/>
    </row>
    <row r="335" spans="5:5">
      <c r="E335" s="17"/>
    </row>
    <row r="336" spans="5:5">
      <c r="E336" s="17"/>
    </row>
    <row r="337" spans="5:5">
      <c r="E337" s="17"/>
    </row>
    <row r="338" spans="5:5">
      <c r="E338" s="17"/>
    </row>
    <row r="339" spans="5:5">
      <c r="E339" s="17"/>
    </row>
    <row r="340" spans="5:5">
      <c r="E340" s="17"/>
    </row>
    <row r="341" spans="5:5">
      <c r="E341" s="17"/>
    </row>
    <row r="342" spans="5:5">
      <c r="E342" s="17"/>
    </row>
    <row r="343" spans="5:5">
      <c r="E343" s="17"/>
    </row>
    <row r="344" spans="5:5">
      <c r="E344" s="17"/>
    </row>
    <row r="345" spans="5:5">
      <c r="E345" s="17"/>
    </row>
    <row r="346" spans="5:5">
      <c r="E346" s="17"/>
    </row>
    <row r="347" spans="5:5">
      <c r="E347" s="17"/>
    </row>
    <row r="348" spans="5:5">
      <c r="E348" s="17"/>
    </row>
    <row r="349" spans="5:5">
      <c r="E349" s="17"/>
    </row>
    <row r="350" spans="5:5">
      <c r="E350" s="17"/>
    </row>
    <row r="351" spans="5:5">
      <c r="E351" s="17"/>
    </row>
    <row r="352" spans="5:5">
      <c r="E352" s="17"/>
    </row>
    <row r="353" spans="5:5">
      <c r="E353" s="17"/>
    </row>
    <row r="354" spans="5:5">
      <c r="E354" s="17"/>
    </row>
    <row r="355" spans="5:5">
      <c r="E355" s="17"/>
    </row>
    <row r="356" spans="5:5">
      <c r="E356" s="17"/>
    </row>
    <row r="357" spans="5:5">
      <c r="E357" s="17"/>
    </row>
    <row r="358" spans="5:5">
      <c r="E358" s="17"/>
    </row>
    <row r="359" spans="5:5">
      <c r="E359" s="17"/>
    </row>
    <row r="360" spans="5:5">
      <c r="E360" s="17"/>
    </row>
    <row r="361" spans="5:5">
      <c r="E361" s="17"/>
    </row>
    <row r="362" spans="5:5">
      <c r="E362" s="17"/>
    </row>
    <row r="363" spans="5:5">
      <c r="E363" s="17"/>
    </row>
    <row r="364" spans="5:5">
      <c r="E364" s="17"/>
    </row>
    <row r="365" spans="5:5">
      <c r="E365" s="17"/>
    </row>
    <row r="366" spans="5:5">
      <c r="E366" s="17"/>
    </row>
    <row r="367" spans="5:5">
      <c r="E367" s="17"/>
    </row>
    <row r="368" spans="5:5">
      <c r="E368" s="17"/>
    </row>
    <row r="369" spans="5:5">
      <c r="E369" s="17"/>
    </row>
    <row r="370" spans="5:5">
      <c r="E370" s="17"/>
    </row>
    <row r="371" spans="5:5">
      <c r="E371" s="17"/>
    </row>
    <row r="372" spans="5:5">
      <c r="E372" s="17"/>
    </row>
    <row r="373" spans="5:5">
      <c r="E373" s="17"/>
    </row>
    <row r="374" spans="5:5">
      <c r="E374" s="17"/>
    </row>
    <row r="375" spans="5:5">
      <c r="E375" s="17"/>
    </row>
    <row r="376" spans="5:5">
      <c r="E376" s="17"/>
    </row>
    <row r="377" spans="5:5">
      <c r="E377" s="17"/>
    </row>
    <row r="378" spans="5:5">
      <c r="E378" s="17"/>
    </row>
    <row r="379" spans="5:5">
      <c r="E379" s="17"/>
    </row>
    <row r="380" spans="5:5">
      <c r="E380" s="17"/>
    </row>
    <row r="381" spans="5:5">
      <c r="E381" s="17"/>
    </row>
    <row r="382" spans="5:5">
      <c r="E382" s="17"/>
    </row>
    <row r="383" spans="5:5">
      <c r="E383" s="17"/>
    </row>
    <row r="384" spans="5:5">
      <c r="E384" s="17"/>
    </row>
    <row r="385" spans="5:5">
      <c r="E385" s="17"/>
    </row>
    <row r="386" spans="5:5">
      <c r="E386" s="17"/>
    </row>
    <row r="387" spans="5:5">
      <c r="E387" s="17"/>
    </row>
    <row r="388" spans="5:5">
      <c r="E388" s="17"/>
    </row>
    <row r="389" spans="5:5">
      <c r="E389" s="17"/>
    </row>
    <row r="390" spans="5:5">
      <c r="E390" s="17"/>
    </row>
    <row r="391" spans="5:5">
      <c r="E391" s="17"/>
    </row>
    <row r="392" spans="5:5">
      <c r="E392" s="17"/>
    </row>
    <row r="393" spans="5:5">
      <c r="E393" s="17"/>
    </row>
    <row r="394" spans="5:5">
      <c r="E394" s="17"/>
    </row>
    <row r="395" spans="5:5">
      <c r="E395" s="17"/>
    </row>
    <row r="396" spans="5:5">
      <c r="E396" s="17"/>
    </row>
    <row r="397" spans="5:5">
      <c r="E397" s="17"/>
    </row>
    <row r="398" spans="5:5">
      <c r="E398" s="17"/>
    </row>
    <row r="399" spans="5:5">
      <c r="E399" s="17"/>
    </row>
    <row r="400" spans="5:5">
      <c r="E400" s="17"/>
    </row>
    <row r="401" spans="5:5">
      <c r="E401" s="17"/>
    </row>
    <row r="402" spans="5:5">
      <c r="E402" s="17"/>
    </row>
    <row r="403" spans="5:5">
      <c r="E403" s="17"/>
    </row>
    <row r="404" spans="5:5">
      <c r="E404" s="17"/>
    </row>
    <row r="405" spans="5:5">
      <c r="E405" s="17"/>
    </row>
    <row r="406" spans="5:5">
      <c r="E406" s="17"/>
    </row>
    <row r="407" spans="5:5">
      <c r="E407" s="17"/>
    </row>
    <row r="408" spans="5:5">
      <c r="E408" s="17"/>
    </row>
    <row r="409" spans="5:5">
      <c r="E409" s="17"/>
    </row>
    <row r="410" spans="5:5">
      <c r="E410" s="17"/>
    </row>
    <row r="411" spans="5:5">
      <c r="E411" s="17"/>
    </row>
    <row r="412" spans="5:5">
      <c r="E412" s="17"/>
    </row>
    <row r="413" spans="5:5">
      <c r="E413" s="17"/>
    </row>
    <row r="414" spans="5:5">
      <c r="E414" s="17"/>
    </row>
    <row r="415" spans="5:5">
      <c r="E415" s="17"/>
    </row>
    <row r="416" spans="5:5">
      <c r="E416" s="17"/>
    </row>
    <row r="417" spans="5:5">
      <c r="E417" s="17"/>
    </row>
    <row r="418" spans="5:5">
      <c r="E418" s="17"/>
    </row>
    <row r="419" spans="5:5">
      <c r="E419" s="17"/>
    </row>
    <row r="420" spans="5:5">
      <c r="E420" s="17"/>
    </row>
    <row r="421" spans="5:5">
      <c r="E421" s="17"/>
    </row>
    <row r="422" spans="5:5">
      <c r="E422" s="17"/>
    </row>
    <row r="423" spans="5:5">
      <c r="E423" s="17"/>
    </row>
    <row r="424" spans="5:5">
      <c r="E424" s="17"/>
    </row>
    <row r="425" spans="5:5">
      <c r="E425" s="17"/>
    </row>
    <row r="426" spans="5:5">
      <c r="E426" s="17"/>
    </row>
    <row r="427" spans="5:5">
      <c r="E427" s="17"/>
    </row>
    <row r="428" spans="5:5">
      <c r="E428" s="17"/>
    </row>
    <row r="429" spans="5:5">
      <c r="E429" s="17"/>
    </row>
    <row r="430" spans="5:5">
      <c r="E430" s="17"/>
    </row>
    <row r="431" spans="5:5">
      <c r="E431" s="17"/>
    </row>
    <row r="432" spans="5:5">
      <c r="E432" s="17"/>
    </row>
    <row r="433" spans="5:5">
      <c r="E433" s="17"/>
    </row>
    <row r="434" spans="5:5">
      <c r="E434" s="17"/>
    </row>
    <row r="435" spans="5:5">
      <c r="E435" s="17"/>
    </row>
    <row r="436" spans="5:5">
      <c r="E436" s="17"/>
    </row>
    <row r="437" spans="5:5">
      <c r="E437" s="17"/>
    </row>
    <row r="438" spans="5:5">
      <c r="E438" s="17"/>
    </row>
    <row r="439" spans="5:5">
      <c r="E439" s="17"/>
    </row>
    <row r="440" spans="5:5">
      <c r="E440" s="17"/>
    </row>
    <row r="441" spans="5:5">
      <c r="E441" s="17"/>
    </row>
    <row r="442" spans="5:5">
      <c r="E442" s="17"/>
    </row>
    <row r="443" spans="5:5">
      <c r="E443" s="17"/>
    </row>
    <row r="444" spans="5:5">
      <c r="E444" s="17"/>
    </row>
    <row r="445" spans="5:5">
      <c r="E445" s="17"/>
    </row>
    <row r="446" spans="5:5">
      <c r="E446" s="17"/>
    </row>
    <row r="447" spans="5:5">
      <c r="E447" s="17"/>
    </row>
    <row r="448" spans="5:5">
      <c r="E448" s="17"/>
    </row>
    <row r="449" spans="5:5">
      <c r="E449" s="17"/>
    </row>
    <row r="450" spans="5:5">
      <c r="E450" s="17"/>
    </row>
    <row r="451" spans="5:5">
      <c r="E451" s="17"/>
    </row>
    <row r="452" spans="5:5">
      <c r="E452" s="17"/>
    </row>
    <row r="453" spans="5:5">
      <c r="E453" s="17"/>
    </row>
    <row r="454" spans="5:5">
      <c r="E454" s="17"/>
    </row>
    <row r="455" spans="5:5">
      <c r="E455" s="17"/>
    </row>
    <row r="456" spans="5:5">
      <c r="E456" s="17"/>
    </row>
    <row r="457" spans="5:5">
      <c r="E457" s="17"/>
    </row>
    <row r="458" spans="5:5">
      <c r="E458" s="17"/>
    </row>
    <row r="459" spans="5:5">
      <c r="E459" s="17"/>
    </row>
    <row r="460" spans="5:5">
      <c r="E460" s="17"/>
    </row>
    <row r="461" spans="5:5">
      <c r="E461" s="17"/>
    </row>
    <row r="462" spans="5:5">
      <c r="E462" s="17"/>
    </row>
    <row r="463" spans="5:5">
      <c r="E463" s="17"/>
    </row>
    <row r="464" spans="5:5">
      <c r="E464" s="17"/>
    </row>
    <row r="465" spans="5:5">
      <c r="E465" s="17"/>
    </row>
    <row r="466" spans="5:5">
      <c r="E466" s="17"/>
    </row>
    <row r="467" spans="5:5">
      <c r="E467" s="17"/>
    </row>
    <row r="468" spans="5:5">
      <c r="E468" s="17"/>
    </row>
    <row r="469" spans="5:5">
      <c r="E469" s="17"/>
    </row>
    <row r="470" spans="5:5">
      <c r="E470" s="17"/>
    </row>
    <row r="471" spans="5:5">
      <c r="E471" s="17"/>
    </row>
    <row r="472" spans="5:5">
      <c r="E472" s="17"/>
    </row>
    <row r="473" spans="5:5">
      <c r="E473" s="17"/>
    </row>
    <row r="474" spans="5:5">
      <c r="E474" s="17"/>
    </row>
    <row r="475" spans="5:5">
      <c r="E475" s="17"/>
    </row>
    <row r="476" spans="5:5">
      <c r="E476" s="17"/>
    </row>
    <row r="477" spans="5:5">
      <c r="E477" s="17"/>
    </row>
    <row r="478" spans="5:5">
      <c r="E478" s="17"/>
    </row>
    <row r="479" spans="5:5">
      <c r="E479" s="17"/>
    </row>
    <row r="480" spans="5:5">
      <c r="E480" s="17"/>
    </row>
    <row r="481" spans="5:5">
      <c r="E481" s="17"/>
    </row>
    <row r="482" spans="5:5">
      <c r="E482" s="17"/>
    </row>
    <row r="483" spans="5:5">
      <c r="E483" s="17"/>
    </row>
    <row r="484" spans="5:5">
      <c r="E484" s="17"/>
    </row>
    <row r="485" spans="5:5">
      <c r="E485" s="17"/>
    </row>
    <row r="486" spans="5:5">
      <c r="E486" s="17"/>
    </row>
    <row r="487" spans="5:5">
      <c r="E487" s="17"/>
    </row>
    <row r="488" spans="5:5">
      <c r="E488" s="17"/>
    </row>
    <row r="489" spans="5:5">
      <c r="E489" s="17"/>
    </row>
    <row r="490" spans="5:5">
      <c r="E490" s="17"/>
    </row>
    <row r="491" spans="5:5">
      <c r="E491" s="17"/>
    </row>
    <row r="492" spans="5:5">
      <c r="E492" s="17"/>
    </row>
    <row r="493" spans="5:5">
      <c r="E493" s="17"/>
    </row>
    <row r="494" spans="5:5">
      <c r="E494" s="17"/>
    </row>
    <row r="495" spans="5:5">
      <c r="E495" s="17"/>
    </row>
    <row r="496" spans="5:5">
      <c r="E496" s="17"/>
    </row>
    <row r="497" spans="5:5">
      <c r="E497" s="17"/>
    </row>
    <row r="498" spans="5:5">
      <c r="E498" s="17"/>
    </row>
    <row r="499" spans="5:5">
      <c r="E499" s="17"/>
    </row>
    <row r="500" spans="5:5">
      <c r="E500" s="17"/>
    </row>
    <row r="501" spans="5:5">
      <c r="E501" s="17"/>
    </row>
    <row r="502" spans="5:5">
      <c r="E502" s="17"/>
    </row>
    <row r="503" spans="5:5">
      <c r="E503" s="17"/>
    </row>
    <row r="504" spans="5:5">
      <c r="E504" s="17"/>
    </row>
    <row r="505" spans="5:5">
      <c r="E505" s="17"/>
    </row>
    <row r="506" spans="5:5">
      <c r="E506" s="17"/>
    </row>
    <row r="507" spans="5:5">
      <c r="E507" s="17"/>
    </row>
    <row r="508" spans="5:5">
      <c r="E508" s="17"/>
    </row>
    <row r="509" spans="5:5">
      <c r="E509" s="17"/>
    </row>
    <row r="510" spans="5:5">
      <c r="E510" s="17"/>
    </row>
    <row r="511" spans="5:5">
      <c r="E511" s="17"/>
    </row>
    <row r="512" spans="5:5">
      <c r="E512" s="17"/>
    </row>
    <row r="513" spans="5:5">
      <c r="E513" s="17"/>
    </row>
    <row r="514" spans="5:5">
      <c r="E514" s="17"/>
    </row>
    <row r="515" spans="5:5">
      <c r="E515" s="17"/>
    </row>
    <row r="516" spans="5:5">
      <c r="E516" s="17"/>
    </row>
    <row r="517" spans="5:5">
      <c r="E517" s="17"/>
    </row>
    <row r="518" spans="5:5">
      <c r="E518" s="17"/>
    </row>
    <row r="519" spans="5:5">
      <c r="E519" s="17"/>
    </row>
    <row r="520" spans="5:5">
      <c r="E520" s="17"/>
    </row>
    <row r="521" spans="5:5">
      <c r="E521" s="17"/>
    </row>
    <row r="522" spans="5:5">
      <c r="E522" s="17"/>
    </row>
    <row r="523" spans="5:5">
      <c r="E523" s="17"/>
    </row>
    <row r="524" spans="5:5">
      <c r="E524" s="17"/>
    </row>
    <row r="525" spans="5:5">
      <c r="E525" s="17"/>
    </row>
    <row r="526" spans="5:5">
      <c r="E526" s="17"/>
    </row>
    <row r="527" spans="5:5">
      <c r="E527" s="17"/>
    </row>
    <row r="528" spans="5:5">
      <c r="E528" s="17"/>
    </row>
    <row r="529" spans="5:5">
      <c r="E529" s="17"/>
    </row>
    <row r="530" spans="5:5">
      <c r="E530" s="17"/>
    </row>
    <row r="531" spans="5:5">
      <c r="E531" s="17"/>
    </row>
    <row r="532" spans="5:5">
      <c r="E532" s="17"/>
    </row>
    <row r="533" spans="5:5">
      <c r="E533" s="17"/>
    </row>
    <row r="534" spans="5:5">
      <c r="E534" s="17"/>
    </row>
    <row r="535" spans="5:5">
      <c r="E535" s="17"/>
    </row>
    <row r="536" spans="5:5">
      <c r="E536" s="17"/>
    </row>
    <row r="537" spans="5:5">
      <c r="E537" s="17"/>
    </row>
    <row r="538" spans="5:5">
      <c r="E538" s="17"/>
    </row>
    <row r="539" spans="5:5">
      <c r="E539" s="17"/>
    </row>
    <row r="540" spans="5:5">
      <c r="E540" s="17"/>
    </row>
    <row r="541" spans="5:5">
      <c r="E541" s="17"/>
    </row>
    <row r="542" spans="5:5">
      <c r="E542" s="17"/>
    </row>
    <row r="543" spans="5:5">
      <c r="E543" s="17"/>
    </row>
    <row r="544" spans="5:5">
      <c r="E544" s="17"/>
    </row>
    <row r="545" spans="5:5">
      <c r="E545" s="17"/>
    </row>
    <row r="546" spans="5:5">
      <c r="E546" s="17"/>
    </row>
    <row r="547" spans="5:5">
      <c r="E547" s="17"/>
    </row>
    <row r="548" spans="5:5">
      <c r="E548" s="17"/>
    </row>
    <row r="549" spans="5:5">
      <c r="E549" s="17"/>
    </row>
    <row r="550" spans="5:5">
      <c r="E550" s="17"/>
    </row>
    <row r="551" spans="5:5">
      <c r="E551" s="17"/>
    </row>
    <row r="552" spans="5:5">
      <c r="E552" s="17"/>
    </row>
    <row r="553" spans="5:5">
      <c r="E553" s="17"/>
    </row>
    <row r="554" spans="5:5">
      <c r="E554" s="17"/>
    </row>
    <row r="555" spans="5:5">
      <c r="E555" s="17"/>
    </row>
    <row r="556" spans="5:5">
      <c r="E556" s="17"/>
    </row>
    <row r="557" spans="5:5">
      <c r="E557" s="17"/>
    </row>
    <row r="558" spans="5:5">
      <c r="E558" s="17"/>
    </row>
    <row r="559" spans="5:5">
      <c r="E559" s="17"/>
    </row>
    <row r="560" spans="5:5">
      <c r="E560" s="17"/>
    </row>
    <row r="561" spans="5:5">
      <c r="E561" s="17"/>
    </row>
    <row r="562" spans="5:5">
      <c r="E562" s="17"/>
    </row>
    <row r="563" spans="5:5">
      <c r="E563" s="17"/>
    </row>
    <row r="564" spans="5:5">
      <c r="E564" s="17"/>
    </row>
    <row r="565" spans="5:5">
      <c r="E565" s="17"/>
    </row>
    <row r="566" spans="5:5">
      <c r="E566" s="17"/>
    </row>
    <row r="567" spans="5:5">
      <c r="E567" s="17"/>
    </row>
    <row r="568" spans="5:5">
      <c r="E568" s="17"/>
    </row>
    <row r="569" spans="5:5">
      <c r="E569" s="17"/>
    </row>
    <row r="570" spans="5:5">
      <c r="E570" s="17"/>
    </row>
    <row r="571" spans="5:5">
      <c r="E571" s="17"/>
    </row>
    <row r="572" spans="5:5">
      <c r="E572" s="17"/>
    </row>
    <row r="573" spans="5:5">
      <c r="E573" s="17"/>
    </row>
    <row r="574" spans="5:5">
      <c r="E574" s="17"/>
    </row>
    <row r="575" spans="5:5">
      <c r="E575" s="17"/>
    </row>
    <row r="576" spans="5:5">
      <c r="E576" s="17"/>
    </row>
    <row r="577" spans="5:5">
      <c r="E577" s="17"/>
    </row>
    <row r="578" spans="5:5">
      <c r="E578" s="17"/>
    </row>
    <row r="579" spans="5:5">
      <c r="E579" s="17"/>
    </row>
    <row r="580" spans="5:5">
      <c r="E580" s="17"/>
    </row>
    <row r="581" spans="5:5">
      <c r="E581" s="17"/>
    </row>
    <row r="582" spans="5:5">
      <c r="E582" s="17"/>
    </row>
    <row r="583" spans="5:5">
      <c r="E583" s="17"/>
    </row>
    <row r="584" spans="5:5">
      <c r="E584" s="17"/>
    </row>
    <row r="585" spans="5:5">
      <c r="E585" s="17"/>
    </row>
    <row r="586" spans="5:5">
      <c r="E586" s="17"/>
    </row>
    <row r="587" spans="5:5">
      <c r="E587" s="17"/>
    </row>
    <row r="588" spans="5:5">
      <c r="E588" s="17"/>
    </row>
    <row r="589" spans="5:5">
      <c r="E589" s="17"/>
    </row>
    <row r="590" spans="5:5">
      <c r="E590" s="17"/>
    </row>
    <row r="591" spans="5:5">
      <c r="E591" s="17"/>
    </row>
    <row r="592" spans="5:5">
      <c r="E592" s="17"/>
    </row>
    <row r="593" spans="5:5">
      <c r="E593" s="17"/>
    </row>
    <row r="594" spans="5:5">
      <c r="E594" s="17"/>
    </row>
    <row r="595" spans="5:5">
      <c r="E595" s="17"/>
    </row>
    <row r="596" spans="5:5">
      <c r="E596" s="17"/>
    </row>
    <row r="597" spans="5:5">
      <c r="E597" s="17"/>
    </row>
    <row r="598" spans="5:5">
      <c r="E598" s="17"/>
    </row>
    <row r="599" spans="5:5">
      <c r="E599" s="17"/>
    </row>
    <row r="600" spans="5:5">
      <c r="E600" s="17"/>
    </row>
    <row r="601" spans="5:5">
      <c r="E601" s="17"/>
    </row>
    <row r="602" spans="5:5">
      <c r="E602" s="17"/>
    </row>
    <row r="603" spans="5:5">
      <c r="E603" s="17"/>
    </row>
    <row r="604" spans="5:5">
      <c r="E604" s="17"/>
    </row>
    <row r="605" spans="5:5">
      <c r="E605" s="17"/>
    </row>
    <row r="606" spans="5:5">
      <c r="E606" s="17"/>
    </row>
    <row r="607" spans="5:5">
      <c r="E607" s="17"/>
    </row>
    <row r="608" spans="5:5">
      <c r="E608" s="17"/>
    </row>
    <row r="609" spans="5:5">
      <c r="E609" s="17"/>
    </row>
    <row r="610" spans="5:5">
      <c r="E610" s="17"/>
    </row>
    <row r="611" spans="5:5">
      <c r="E611" s="17"/>
    </row>
    <row r="612" spans="5:5">
      <c r="E612" s="17"/>
    </row>
    <row r="613" spans="5:5">
      <c r="E613" s="17"/>
    </row>
    <row r="614" spans="5:5">
      <c r="E614" s="17"/>
    </row>
    <row r="615" spans="5:5">
      <c r="E615" s="17"/>
    </row>
    <row r="616" spans="5:5">
      <c r="E616" s="17"/>
    </row>
    <row r="617" spans="5:5">
      <c r="E617" s="17"/>
    </row>
    <row r="618" spans="5:5">
      <c r="E618" s="17"/>
    </row>
    <row r="619" spans="5:5">
      <c r="E619" s="17"/>
    </row>
    <row r="620" spans="5:5">
      <c r="E620" s="17"/>
    </row>
    <row r="621" spans="5:5">
      <c r="E621" s="17"/>
    </row>
    <row r="622" spans="5:5">
      <c r="E622" s="17"/>
    </row>
    <row r="623" spans="5:5">
      <c r="E623" s="17"/>
    </row>
    <row r="624" spans="5:5">
      <c r="E624" s="17"/>
    </row>
    <row r="625" spans="5:5">
      <c r="E625" s="17"/>
    </row>
    <row r="626" spans="5:5">
      <c r="E626" s="17"/>
    </row>
    <row r="627" spans="5:5">
      <c r="E627" s="17"/>
    </row>
    <row r="628" spans="5:5">
      <c r="E628" s="17"/>
    </row>
    <row r="629" spans="5:5">
      <c r="E629" s="17"/>
    </row>
    <row r="630" spans="5:5">
      <c r="E630" s="17"/>
    </row>
    <row r="631" spans="5:5">
      <c r="E631" s="17"/>
    </row>
    <row r="632" spans="5:5">
      <c r="E632" s="17"/>
    </row>
    <row r="633" spans="5:5">
      <c r="E633" s="17"/>
    </row>
    <row r="634" spans="5:5">
      <c r="E634" s="17"/>
    </row>
    <row r="635" spans="5:5">
      <c r="E635" s="17"/>
    </row>
    <row r="636" spans="5:5">
      <c r="E636" s="17"/>
    </row>
    <row r="637" spans="5:5">
      <c r="E637" s="17"/>
    </row>
    <row r="638" spans="5:5">
      <c r="E638" s="17"/>
    </row>
    <row r="639" spans="5:5">
      <c r="E639" s="17"/>
    </row>
    <row r="640" spans="5:5">
      <c r="E640" s="17"/>
    </row>
    <row r="641" spans="5:5">
      <c r="E641" s="17"/>
    </row>
    <row r="642" spans="5:5">
      <c r="E642" s="17"/>
    </row>
    <row r="643" spans="5:5">
      <c r="E643" s="17"/>
    </row>
    <row r="644" spans="5:5">
      <c r="E644" s="17"/>
    </row>
    <row r="645" spans="5:5">
      <c r="E645" s="17"/>
    </row>
    <row r="646" spans="5:5">
      <c r="E646" s="17"/>
    </row>
    <row r="647" spans="5:5">
      <c r="E647" s="17"/>
    </row>
    <row r="648" spans="5:5">
      <c r="E648" s="17"/>
    </row>
    <row r="649" spans="5:5">
      <c r="E649" s="17"/>
    </row>
    <row r="650" spans="5:5">
      <c r="E650" s="17"/>
    </row>
    <row r="651" spans="5:5">
      <c r="E651" s="17"/>
    </row>
    <row r="652" spans="5:5">
      <c r="E652" s="17"/>
    </row>
    <row r="653" spans="5:5">
      <c r="E653" s="17"/>
    </row>
    <row r="654" spans="5:5">
      <c r="E654" s="17"/>
    </row>
    <row r="655" spans="5:5">
      <c r="E655" s="17"/>
    </row>
    <row r="656" spans="5:5">
      <c r="E656" s="17"/>
    </row>
    <row r="657" spans="5:5">
      <c r="E657" s="17"/>
    </row>
    <row r="658" spans="5:5">
      <c r="E658" s="17"/>
    </row>
    <row r="659" spans="5:5">
      <c r="E659" s="17"/>
    </row>
    <row r="660" spans="5:5">
      <c r="E660" s="17"/>
    </row>
    <row r="661" spans="5:5">
      <c r="E661" s="17"/>
    </row>
    <row r="662" spans="5:5">
      <c r="E662" s="17"/>
    </row>
    <row r="663" spans="5:5">
      <c r="E663" s="17"/>
    </row>
    <row r="664" spans="5:5">
      <c r="E664" s="17"/>
    </row>
    <row r="665" spans="5:5">
      <c r="E665" s="17"/>
    </row>
    <row r="666" spans="5:5">
      <c r="E666" s="17"/>
    </row>
    <row r="667" spans="5:5">
      <c r="E667" s="17"/>
    </row>
    <row r="668" spans="5:5">
      <c r="E668" s="17"/>
    </row>
    <row r="669" spans="5:5">
      <c r="E669" s="17"/>
    </row>
    <row r="670" spans="5:5">
      <c r="E670" s="17"/>
    </row>
    <row r="671" spans="5:5">
      <c r="E671" s="17"/>
    </row>
    <row r="672" spans="5:5">
      <c r="E672" s="17"/>
    </row>
    <row r="673" spans="5:5">
      <c r="E673" s="17"/>
    </row>
    <row r="674" spans="5:5">
      <c r="E674" s="17"/>
    </row>
    <row r="675" spans="5:5">
      <c r="E675" s="17"/>
    </row>
    <row r="676" spans="5:5">
      <c r="E676" s="17"/>
    </row>
    <row r="677" spans="5:5">
      <c r="E677" s="17"/>
    </row>
    <row r="678" spans="5:5">
      <c r="E678" s="17"/>
    </row>
    <row r="679" spans="5:5">
      <c r="E679" s="17"/>
    </row>
    <row r="680" spans="5:5">
      <c r="E680" s="17"/>
    </row>
    <row r="681" spans="5:5">
      <c r="E681" s="17"/>
    </row>
    <row r="682" spans="5:5">
      <c r="E682" s="17"/>
    </row>
    <row r="683" spans="5:5">
      <c r="E683" s="17"/>
    </row>
    <row r="684" spans="5:5">
      <c r="E684" s="17"/>
    </row>
    <row r="685" spans="5:5">
      <c r="E685" s="17"/>
    </row>
    <row r="686" spans="5:5">
      <c r="E686" s="17"/>
    </row>
    <row r="687" spans="5:5">
      <c r="E687" s="17"/>
    </row>
    <row r="688" spans="5:5">
      <c r="E688" s="17"/>
    </row>
    <row r="689" spans="5:5">
      <c r="E689" s="17"/>
    </row>
    <row r="690" spans="5:5">
      <c r="E690" s="17"/>
    </row>
    <row r="691" spans="5:5">
      <c r="E691" s="17"/>
    </row>
    <row r="692" spans="5:5">
      <c r="E692" s="17"/>
    </row>
    <row r="693" spans="5:5">
      <c r="E693" s="17"/>
    </row>
    <row r="694" spans="5:5">
      <c r="E694" s="17"/>
    </row>
    <row r="695" spans="5:5">
      <c r="E695" s="17"/>
    </row>
    <row r="696" spans="5:5">
      <c r="E696" s="17"/>
    </row>
    <row r="697" spans="5:5">
      <c r="E697" s="17"/>
    </row>
    <row r="698" spans="5:5">
      <c r="E698" s="17"/>
    </row>
    <row r="699" spans="5:5">
      <c r="E699" s="17"/>
    </row>
    <row r="700" spans="5:5">
      <c r="E700" s="17"/>
    </row>
    <row r="701" spans="5:5">
      <c r="E701" s="17"/>
    </row>
    <row r="702" spans="5:5">
      <c r="E702" s="17"/>
    </row>
    <row r="703" spans="5:5">
      <c r="E703" s="17"/>
    </row>
    <row r="704" spans="5:5">
      <c r="E704" s="17"/>
    </row>
    <row r="705" spans="5:5">
      <c r="E705" s="17"/>
    </row>
    <row r="706" spans="5:5">
      <c r="E706" s="17"/>
    </row>
    <row r="707" spans="5:5">
      <c r="E707" s="17"/>
    </row>
    <row r="708" spans="5:5">
      <c r="E708" s="17"/>
    </row>
    <row r="709" spans="5:5">
      <c r="E709" s="17"/>
    </row>
    <row r="710" spans="5:5">
      <c r="E710" s="17"/>
    </row>
    <row r="711" spans="5:5">
      <c r="E711" s="17"/>
    </row>
    <row r="712" spans="5:5">
      <c r="E712" s="17"/>
    </row>
    <row r="713" spans="5:5">
      <c r="E713" s="17"/>
    </row>
    <row r="714" spans="5:5">
      <c r="E714" s="17"/>
    </row>
    <row r="715" spans="5:5">
      <c r="E715" s="17"/>
    </row>
    <row r="716" spans="5:5">
      <c r="E716" s="17"/>
    </row>
    <row r="717" spans="5:5">
      <c r="E717" s="17"/>
    </row>
    <row r="718" spans="5:5">
      <c r="E718" s="17"/>
    </row>
    <row r="719" spans="5:5">
      <c r="E719" s="17"/>
    </row>
    <row r="720" spans="5:5">
      <c r="E720" s="17"/>
    </row>
    <row r="721" spans="5:5">
      <c r="E721" s="17"/>
    </row>
    <row r="722" spans="5:5">
      <c r="E722" s="17"/>
    </row>
    <row r="723" spans="5:5">
      <c r="E723" s="17"/>
    </row>
    <row r="724" spans="5:5">
      <c r="E724" s="17"/>
    </row>
    <row r="725" spans="5:5">
      <c r="E725" s="17"/>
    </row>
    <row r="726" spans="5:5">
      <c r="E726" s="17"/>
    </row>
    <row r="727" spans="5:5">
      <c r="E727" s="17"/>
    </row>
    <row r="728" spans="5:5">
      <c r="E728" s="17"/>
    </row>
    <row r="729" spans="5:5">
      <c r="E729" s="17"/>
    </row>
    <row r="730" spans="5:5">
      <c r="E730" s="17"/>
    </row>
    <row r="731" spans="5:5">
      <c r="E731" s="17"/>
    </row>
    <row r="732" spans="5:5">
      <c r="E732" s="17"/>
    </row>
    <row r="733" spans="5:5">
      <c r="E733" s="17"/>
    </row>
    <row r="734" spans="5:5">
      <c r="E734" s="17"/>
    </row>
    <row r="735" spans="5:5">
      <c r="E735" s="17"/>
    </row>
    <row r="736" spans="5:5">
      <c r="E736" s="17"/>
    </row>
    <row r="737" spans="5:5">
      <c r="E737" s="17"/>
    </row>
    <row r="738" spans="5:5">
      <c r="E738" s="17"/>
    </row>
    <row r="739" spans="5:5">
      <c r="E739" s="17"/>
    </row>
    <row r="740" spans="5:5">
      <c r="E740" s="17"/>
    </row>
    <row r="741" spans="5:5">
      <c r="E741" s="17"/>
    </row>
    <row r="742" spans="5:5">
      <c r="E742" s="17"/>
    </row>
    <row r="743" spans="5:5">
      <c r="E743" s="17"/>
    </row>
    <row r="744" spans="5:5">
      <c r="E744" s="17"/>
    </row>
    <row r="745" spans="5:5">
      <c r="E745" s="17"/>
    </row>
    <row r="746" spans="5:5">
      <c r="E746" s="17"/>
    </row>
    <row r="747" spans="5:5">
      <c r="E747" s="17"/>
    </row>
    <row r="748" spans="5:5">
      <c r="E748" s="17"/>
    </row>
    <row r="749" spans="5:5">
      <c r="E749" s="17"/>
    </row>
    <row r="750" spans="5:5">
      <c r="E750" s="17"/>
    </row>
    <row r="751" spans="5:5">
      <c r="E751" s="17"/>
    </row>
    <row r="752" spans="5:5">
      <c r="E752" s="17"/>
    </row>
    <row r="753" spans="5:5">
      <c r="E753" s="17"/>
    </row>
    <row r="754" spans="5:5">
      <c r="E754" s="17"/>
    </row>
    <row r="755" spans="5:5">
      <c r="E755" s="17"/>
    </row>
    <row r="756" spans="5:5">
      <c r="E756" s="17"/>
    </row>
    <row r="757" spans="5:5">
      <c r="E757" s="17"/>
    </row>
    <row r="758" spans="5:5">
      <c r="E758" s="17"/>
    </row>
    <row r="759" spans="5:5">
      <c r="E759" s="17"/>
    </row>
    <row r="760" spans="5:5">
      <c r="E760" s="17"/>
    </row>
    <row r="761" spans="5:5">
      <c r="E761" s="17"/>
    </row>
    <row r="762" spans="5:5">
      <c r="E762" s="17"/>
    </row>
    <row r="763" spans="5:5">
      <c r="E763" s="17"/>
    </row>
    <row r="764" spans="5:5">
      <c r="E764" s="17"/>
    </row>
    <row r="765" spans="5:5">
      <c r="E765" s="17"/>
    </row>
    <row r="766" spans="5:5">
      <c r="E766" s="17"/>
    </row>
    <row r="767" spans="5:5">
      <c r="E767" s="17"/>
    </row>
    <row r="768" spans="5:5">
      <c r="E768" s="17"/>
    </row>
    <row r="769" spans="5:5">
      <c r="E769" s="17"/>
    </row>
    <row r="770" spans="5:5">
      <c r="E770" s="17"/>
    </row>
    <row r="771" spans="5:5">
      <c r="E771" s="17"/>
    </row>
    <row r="772" spans="5:5">
      <c r="E772" s="17"/>
    </row>
    <row r="773" spans="5:5">
      <c r="E773" s="17"/>
    </row>
    <row r="774" spans="5:5">
      <c r="E774" s="17"/>
    </row>
    <row r="775" spans="5:5">
      <c r="E775" s="17"/>
    </row>
    <row r="776" spans="5:5">
      <c r="E776" s="17"/>
    </row>
    <row r="777" spans="5:5">
      <c r="E777" s="17"/>
    </row>
    <row r="778" spans="5:5">
      <c r="E778" s="17"/>
    </row>
    <row r="779" spans="5:5">
      <c r="E779" s="17"/>
    </row>
    <row r="780" spans="5:5">
      <c r="E780" s="17"/>
    </row>
    <row r="781" spans="5:5">
      <c r="E781" s="17"/>
    </row>
    <row r="782" spans="5:5">
      <c r="E782" s="17"/>
    </row>
    <row r="783" spans="5:5">
      <c r="E783" s="17"/>
    </row>
    <row r="784" spans="5:5">
      <c r="E784" s="17"/>
    </row>
    <row r="785" spans="5:5">
      <c r="E785" s="17"/>
    </row>
    <row r="786" spans="5:5">
      <c r="E786" s="17"/>
    </row>
    <row r="787" spans="5:5">
      <c r="E787" s="17"/>
    </row>
    <row r="788" spans="5:5">
      <c r="E788" s="17"/>
    </row>
    <row r="789" spans="5:5">
      <c r="E789" s="17"/>
    </row>
    <row r="790" spans="5:5">
      <c r="E790" s="17"/>
    </row>
    <row r="791" spans="5:5">
      <c r="E791" s="17"/>
    </row>
    <row r="792" spans="5:5">
      <c r="E792" s="17"/>
    </row>
    <row r="793" spans="5:5">
      <c r="E793" s="17"/>
    </row>
    <row r="794" spans="5:5">
      <c r="E794" s="17"/>
    </row>
    <row r="795" spans="5:5">
      <c r="E795" s="17"/>
    </row>
    <row r="796" spans="5:5">
      <c r="E796" s="17"/>
    </row>
    <row r="797" spans="5:5">
      <c r="E797" s="17"/>
    </row>
    <row r="798" spans="5:5">
      <c r="E798" s="17"/>
    </row>
    <row r="799" spans="5:5">
      <c r="E799" s="17"/>
    </row>
    <row r="800" spans="5:5">
      <c r="E800" s="17"/>
    </row>
    <row r="801" spans="5:5">
      <c r="E801" s="17"/>
    </row>
    <row r="802" spans="5:5">
      <c r="E802" s="17"/>
    </row>
    <row r="803" spans="5:5">
      <c r="E803" s="17"/>
    </row>
    <row r="804" spans="5:5">
      <c r="E804" s="17"/>
    </row>
    <row r="805" spans="5:5">
      <c r="E805" s="17"/>
    </row>
    <row r="806" spans="5:5">
      <c r="E806" s="17"/>
    </row>
    <row r="807" spans="5:5">
      <c r="E807" s="17"/>
    </row>
    <row r="808" spans="5:5">
      <c r="E808" s="17"/>
    </row>
    <row r="809" spans="5:5">
      <c r="E809" s="17"/>
    </row>
    <row r="810" spans="5:5">
      <c r="E810" s="17"/>
    </row>
    <row r="811" spans="5:5">
      <c r="E811" s="17"/>
    </row>
    <row r="812" spans="5:5">
      <c r="E812" s="17"/>
    </row>
    <row r="813" spans="5:5">
      <c r="E813" s="17"/>
    </row>
    <row r="814" spans="5:5">
      <c r="E814" s="17"/>
    </row>
    <row r="815" spans="5:5">
      <c r="E815" s="17"/>
    </row>
    <row r="816" spans="5:5">
      <c r="E816" s="17"/>
    </row>
    <row r="817" spans="5:5">
      <c r="E817" s="17"/>
    </row>
    <row r="818" spans="5:5">
      <c r="E818" s="17"/>
    </row>
    <row r="819" spans="5:5">
      <c r="E819" s="17"/>
    </row>
    <row r="820" spans="5:5">
      <c r="E820" s="17"/>
    </row>
    <row r="821" spans="5:5">
      <c r="E821" s="17"/>
    </row>
    <row r="822" spans="5:5">
      <c r="E822" s="17"/>
    </row>
    <row r="823" spans="5:5">
      <c r="E823" s="17"/>
    </row>
    <row r="824" spans="5:5">
      <c r="E824" s="17"/>
    </row>
    <row r="825" spans="5:5">
      <c r="E825" s="17"/>
    </row>
    <row r="826" spans="5:5">
      <c r="E826" s="17"/>
    </row>
    <row r="827" spans="5:5">
      <c r="E827" s="17"/>
    </row>
    <row r="828" spans="5:5">
      <c r="E828" s="17"/>
    </row>
    <row r="829" spans="5:5">
      <c r="E829" s="17"/>
    </row>
    <row r="830" spans="5:5">
      <c r="E830" s="17"/>
    </row>
    <row r="831" spans="5:5">
      <c r="E831" s="17"/>
    </row>
    <row r="832" spans="5:5">
      <c r="E832" s="17"/>
    </row>
    <row r="833" spans="5:5">
      <c r="E833" s="17"/>
    </row>
    <row r="834" spans="5:5">
      <c r="E834" s="17"/>
    </row>
    <row r="835" spans="5:5">
      <c r="E835" s="17"/>
    </row>
    <row r="836" spans="5:5">
      <c r="E836" s="17"/>
    </row>
    <row r="837" spans="5:5">
      <c r="E837" s="17"/>
    </row>
    <row r="838" spans="5:5">
      <c r="E838" s="17"/>
    </row>
    <row r="839" spans="5:5">
      <c r="E839" s="17"/>
    </row>
    <row r="840" spans="5:5">
      <c r="E840" s="17"/>
    </row>
    <row r="841" spans="5:5">
      <c r="E841" s="17"/>
    </row>
    <row r="842" spans="5:5">
      <c r="E842" s="17"/>
    </row>
    <row r="843" spans="5:5">
      <c r="E843" s="17"/>
    </row>
    <row r="844" spans="5:5">
      <c r="E844" s="17"/>
    </row>
    <row r="845" spans="5:5">
      <c r="E845" s="17"/>
    </row>
    <row r="846" spans="5:5">
      <c r="E846" s="17"/>
    </row>
    <row r="847" spans="5:5">
      <c r="E847" s="17"/>
    </row>
    <row r="848" spans="5:5">
      <c r="E848" s="17"/>
    </row>
    <row r="849" spans="5:5">
      <c r="E849" s="17"/>
    </row>
    <row r="850" spans="5:5">
      <c r="E850" s="17"/>
    </row>
    <row r="851" spans="5:5">
      <c r="E851" s="17"/>
    </row>
    <row r="852" spans="5:5">
      <c r="E852" s="17"/>
    </row>
    <row r="853" spans="5:5">
      <c r="E853" s="17"/>
    </row>
    <row r="854" spans="5:5">
      <c r="E854" s="17"/>
    </row>
    <row r="855" spans="5:5">
      <c r="E855" s="17"/>
    </row>
    <row r="856" spans="5:5">
      <c r="E856" s="17"/>
    </row>
    <row r="857" spans="5:5">
      <c r="E857" s="17"/>
    </row>
    <row r="858" spans="5:5">
      <c r="E858" s="17"/>
    </row>
    <row r="859" spans="5:5">
      <c r="E859" s="17"/>
    </row>
    <row r="860" spans="5:5">
      <c r="E860" s="17"/>
    </row>
    <row r="861" spans="5:5">
      <c r="E861" s="17"/>
    </row>
    <row r="862" spans="5:5">
      <c r="E862" s="17"/>
    </row>
    <row r="863" spans="5:5">
      <c r="E863" s="17"/>
    </row>
    <row r="864" spans="5:5">
      <c r="E864" s="17"/>
    </row>
    <row r="865" spans="5:5">
      <c r="E865" s="17"/>
    </row>
    <row r="866" spans="5:5">
      <c r="E866" s="17"/>
    </row>
    <row r="867" spans="5:5">
      <c r="E867" s="17"/>
    </row>
    <row r="868" spans="5:5">
      <c r="E868" s="17"/>
    </row>
    <row r="869" spans="5:5">
      <c r="E869" s="17"/>
    </row>
    <row r="870" spans="5:5">
      <c r="E870" s="17"/>
    </row>
    <row r="871" spans="5:5">
      <c r="E871" s="17"/>
    </row>
    <row r="872" spans="5:5">
      <c r="E872" s="17"/>
    </row>
    <row r="873" spans="5:5">
      <c r="E873" s="17"/>
    </row>
    <row r="874" spans="5:5">
      <c r="E874" s="17"/>
    </row>
    <row r="875" spans="5:5">
      <c r="E875" s="17"/>
    </row>
    <row r="876" spans="5:5">
      <c r="E876" s="17"/>
    </row>
    <row r="877" spans="5:5">
      <c r="E877" s="17"/>
    </row>
    <row r="878" spans="5:5">
      <c r="E878" s="17"/>
    </row>
    <row r="879" spans="5:5">
      <c r="E879" s="17"/>
    </row>
    <row r="880" spans="5:5">
      <c r="E880" s="17"/>
    </row>
    <row r="881" spans="5:5">
      <c r="E881" s="17"/>
    </row>
    <row r="882" spans="5:5">
      <c r="E882" s="17"/>
    </row>
    <row r="883" spans="5:5">
      <c r="E883" s="17"/>
    </row>
    <row r="884" spans="5:5">
      <c r="E884" s="17"/>
    </row>
    <row r="885" spans="5:5">
      <c r="E885" s="17"/>
    </row>
    <row r="886" spans="5:5">
      <c r="E886" s="17"/>
    </row>
    <row r="887" spans="5:5">
      <c r="E887" s="17"/>
    </row>
    <row r="888" spans="5:5">
      <c r="E888" s="17"/>
    </row>
    <row r="889" spans="5:5">
      <c r="E889" s="17"/>
    </row>
    <row r="890" spans="5:5">
      <c r="E890" s="17"/>
    </row>
    <row r="891" spans="5:5">
      <c r="E891" s="17"/>
    </row>
    <row r="892" spans="5:5">
      <c r="E892" s="17"/>
    </row>
    <row r="893" spans="5:5">
      <c r="E893" s="17"/>
    </row>
    <row r="894" spans="5:5">
      <c r="E894" s="17"/>
    </row>
    <row r="895" spans="5:5">
      <c r="E895" s="17"/>
    </row>
    <row r="896" spans="5:5">
      <c r="E896" s="17"/>
    </row>
    <row r="897" spans="5:5">
      <c r="E897" s="17"/>
    </row>
    <row r="898" spans="5:5">
      <c r="E898" s="17"/>
    </row>
    <row r="899" spans="5:5">
      <c r="E899" s="17"/>
    </row>
    <row r="900" spans="5:5">
      <c r="E900" s="17"/>
    </row>
    <row r="901" spans="5:5">
      <c r="E901" s="17"/>
    </row>
    <row r="902" spans="5:5">
      <c r="E902" s="17"/>
    </row>
    <row r="903" spans="5:5">
      <c r="E903" s="17"/>
    </row>
    <row r="904" spans="5:5">
      <c r="E904" s="17"/>
    </row>
    <row r="905" spans="5:5">
      <c r="E905" s="17"/>
    </row>
    <row r="906" spans="5:5">
      <c r="E906" s="17"/>
    </row>
    <row r="907" spans="5:5">
      <c r="E907" s="17"/>
    </row>
    <row r="908" spans="5:5">
      <c r="E908" s="17"/>
    </row>
    <row r="909" spans="5:5">
      <c r="E909" s="17"/>
    </row>
    <row r="910" spans="5:5">
      <c r="E910" s="17"/>
    </row>
    <row r="911" spans="5:5">
      <c r="E911" s="17"/>
    </row>
    <row r="912" spans="5:5">
      <c r="E912" s="17"/>
    </row>
    <row r="913" spans="5:5">
      <c r="E913" s="17"/>
    </row>
    <row r="914" spans="5:5">
      <c r="E914" s="17"/>
    </row>
    <row r="915" spans="5:5">
      <c r="E915" s="17"/>
    </row>
    <row r="916" spans="5:5">
      <c r="E916" s="17"/>
    </row>
    <row r="917" spans="5:5">
      <c r="E917" s="17"/>
    </row>
    <row r="918" spans="5:5">
      <c r="E918" s="17"/>
    </row>
    <row r="919" spans="5:5">
      <c r="E919" s="17"/>
    </row>
    <row r="920" spans="5:5">
      <c r="E920" s="17"/>
    </row>
    <row r="921" spans="5:5">
      <c r="E921" s="17"/>
    </row>
    <row r="922" spans="5:5">
      <c r="E922" s="17"/>
    </row>
    <row r="923" spans="5:5">
      <c r="E923" s="17"/>
    </row>
    <row r="924" spans="5:5">
      <c r="E924" s="17"/>
    </row>
    <row r="925" spans="5:5">
      <c r="E925" s="17"/>
    </row>
    <row r="926" spans="5:5">
      <c r="E926" s="17"/>
    </row>
    <row r="927" spans="5:5">
      <c r="E927" s="17"/>
    </row>
    <row r="928" spans="5:5">
      <c r="E928" s="17"/>
    </row>
    <row r="929" spans="5:5">
      <c r="E929" s="17"/>
    </row>
    <row r="930" spans="5:5">
      <c r="E930" s="17"/>
    </row>
    <row r="931" spans="5:5">
      <c r="E931" s="17"/>
    </row>
    <row r="932" spans="5:5">
      <c r="E932" s="17"/>
    </row>
    <row r="933" spans="5:5">
      <c r="E933" s="17"/>
    </row>
    <row r="934" spans="5:5">
      <c r="E934" s="17"/>
    </row>
    <row r="935" spans="5:5">
      <c r="E935" s="17"/>
    </row>
    <row r="936" spans="5:5">
      <c r="E936" s="17"/>
    </row>
    <row r="937" spans="5:5">
      <c r="E937" s="17"/>
    </row>
    <row r="938" spans="5:5">
      <c r="E938" s="17"/>
    </row>
    <row r="939" spans="5:5">
      <c r="E939" s="17"/>
    </row>
    <row r="940" spans="5:5">
      <c r="E940" s="17"/>
    </row>
    <row r="941" spans="5:5">
      <c r="E941" s="17"/>
    </row>
    <row r="942" spans="5:5">
      <c r="E942" s="17"/>
    </row>
    <row r="943" spans="5:5">
      <c r="E943" s="17"/>
    </row>
    <row r="944" spans="5:5">
      <c r="E944" s="17"/>
    </row>
    <row r="945" spans="5:5">
      <c r="E945" s="17"/>
    </row>
    <row r="946" spans="5:5">
      <c r="E946" s="17"/>
    </row>
    <row r="947" spans="5:5">
      <c r="E947" s="17"/>
    </row>
    <row r="948" spans="5:5">
      <c r="E948" s="17"/>
    </row>
    <row r="949" spans="5:5">
      <c r="E949" s="17"/>
    </row>
    <row r="950" spans="5:5">
      <c r="E950" s="17"/>
    </row>
    <row r="951" spans="5:5">
      <c r="E951" s="17"/>
    </row>
    <row r="952" spans="5:5">
      <c r="E952" s="17"/>
    </row>
    <row r="953" spans="5:5">
      <c r="E953" s="17"/>
    </row>
    <row r="954" spans="5:5">
      <c r="E954" s="17"/>
    </row>
    <row r="955" spans="5:5">
      <c r="E955" s="17"/>
    </row>
    <row r="956" spans="5:5">
      <c r="E956" s="17"/>
    </row>
    <row r="957" spans="5:5">
      <c r="E957" s="17"/>
    </row>
    <row r="958" spans="5:5">
      <c r="E958" s="17"/>
    </row>
    <row r="959" spans="5:5">
      <c r="E959" s="17"/>
    </row>
    <row r="960" spans="5:5">
      <c r="E960" s="17"/>
    </row>
    <row r="961" spans="5:5">
      <c r="E961" s="17"/>
    </row>
    <row r="962" spans="5:5">
      <c r="E962" s="17"/>
    </row>
    <row r="963" spans="5:5">
      <c r="E963" s="17"/>
    </row>
    <row r="964" spans="5:5">
      <c r="E964" s="17"/>
    </row>
    <row r="965" spans="5:5">
      <c r="E965" s="17"/>
    </row>
    <row r="966" spans="5:5">
      <c r="E966" s="17"/>
    </row>
    <row r="967" spans="5:5">
      <c r="E967" s="17"/>
    </row>
    <row r="968" spans="5:5">
      <c r="E968" s="17"/>
    </row>
    <row r="969" spans="5:5">
      <c r="E969" s="17"/>
    </row>
    <row r="970" spans="5:5">
      <c r="E970" s="17"/>
    </row>
    <row r="971" spans="5:5">
      <c r="E971" s="17"/>
    </row>
    <row r="972" spans="5:5">
      <c r="E972" s="17"/>
    </row>
    <row r="973" spans="5:5">
      <c r="E973" s="17"/>
    </row>
    <row r="974" spans="5:5">
      <c r="E974" s="17"/>
    </row>
    <row r="975" spans="5:5">
      <c r="E975" s="17"/>
    </row>
    <row r="976" spans="5:5">
      <c r="E976" s="17"/>
    </row>
    <row r="977" spans="5:5">
      <c r="E977" s="17"/>
    </row>
    <row r="978" spans="5:5">
      <c r="E978" s="17"/>
    </row>
    <row r="979" spans="5:5">
      <c r="E979" s="17"/>
    </row>
    <row r="980" spans="5:5">
      <c r="E980" s="17"/>
    </row>
    <row r="981" spans="5:5">
      <c r="E981" s="17"/>
    </row>
    <row r="982" spans="5:5">
      <c r="E982" s="17"/>
    </row>
    <row r="983" spans="5:5">
      <c r="E983" s="17"/>
    </row>
    <row r="984" spans="5:5">
      <c r="E984" s="17"/>
    </row>
    <row r="985" spans="5:5">
      <c r="E985" s="17"/>
    </row>
    <row r="986" spans="5:5">
      <c r="E986" s="17"/>
    </row>
    <row r="987" spans="5:5">
      <c r="E987" s="17"/>
    </row>
    <row r="988" spans="5:5">
      <c r="E988" s="17"/>
    </row>
    <row r="989" spans="5:5">
      <c r="E989" s="17"/>
    </row>
    <row r="990" spans="5:5">
      <c r="E990" s="17"/>
    </row>
    <row r="991" spans="5:5">
      <c r="E991" s="17"/>
    </row>
    <row r="992" spans="5:5">
      <c r="E992" s="17"/>
    </row>
    <row r="993" spans="5:5">
      <c r="E993" s="17"/>
    </row>
    <row r="994" spans="5:5">
      <c r="E994" s="17"/>
    </row>
    <row r="995" spans="5:5">
      <c r="E995" s="17"/>
    </row>
    <row r="996" spans="5:5">
      <c r="E996" s="17"/>
    </row>
    <row r="997" spans="5:5">
      <c r="E997" s="17"/>
    </row>
    <row r="998" spans="5:5">
      <c r="E998" s="17"/>
    </row>
    <row r="999" spans="5:5">
      <c r="E999" s="17"/>
    </row>
    <row r="1000" spans="5:5">
      <c r="E1000" s="17"/>
    </row>
    <row r="1001" spans="5:5">
      <c r="E1001" s="17"/>
    </row>
    <row r="1002" spans="5:5">
      <c r="E1002" s="17"/>
    </row>
  </sheetData>
  <pageMargins left="0" right="0" top="0" bottom="0" header="0" footer="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'Codici ATECO 2022'!$A$2:$A1002</xm:f>
          </x14:formula1>
          <xm:sqref>X27:X29 E2:E1002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workbookViewId="0">
      <selection activeCell="A3" sqref="A3"/>
    </sheetView>
  </sheetViews>
  <sheetFormatPr defaultColWidth="12.5703125" defaultRowHeight="15.75" customHeight="1"/>
  <cols>
    <col min="6" max="6" width="12.5703125" customWidth="1"/>
  </cols>
  <sheetData>
    <row r="1" spans="1:13">
      <c r="A1" s="32" t="s">
        <v>17</v>
      </c>
      <c r="B1" s="29"/>
      <c r="C1" s="29"/>
      <c r="E1" s="33" t="s">
        <v>18</v>
      </c>
      <c r="F1" s="29"/>
      <c r="G1" s="29"/>
      <c r="J1" s="30" t="s">
        <v>3</v>
      </c>
      <c r="K1" s="29"/>
      <c r="L1" s="34" t="s">
        <v>19</v>
      </c>
      <c r="M1" s="29"/>
    </row>
    <row r="2" spans="1:13">
      <c r="A2" s="11" t="s">
        <v>13</v>
      </c>
      <c r="B2" s="11" t="s">
        <v>20</v>
      </c>
      <c r="C2" s="11" t="s">
        <v>21</v>
      </c>
      <c r="E2" s="11" t="s">
        <v>13</v>
      </c>
      <c r="F2" s="11" t="s">
        <v>20</v>
      </c>
      <c r="G2" s="11" t="s">
        <v>21</v>
      </c>
      <c r="J2" s="31">
        <f ca="1">Risultati!H2</f>
        <v>0</v>
      </c>
      <c r="K2" s="29"/>
      <c r="L2" s="31">
        <f ca="1">J2-SUM(F2:F1000)-SUM(B3:B1000)</f>
        <v>0</v>
      </c>
      <c r="M2" s="29"/>
    </row>
    <row r="3" spans="1:13">
      <c r="B3" s="5"/>
      <c r="F3" s="7"/>
      <c r="G3" s="7"/>
      <c r="J3" s="29"/>
      <c r="K3" s="29"/>
      <c r="L3" s="29"/>
      <c r="M3" s="29"/>
    </row>
    <row r="4" spans="1:13">
      <c r="B4" s="5"/>
      <c r="F4" s="5"/>
      <c r="G4" s="5"/>
    </row>
    <row r="5" spans="1:13">
      <c r="B5" s="5"/>
      <c r="F5" s="5"/>
      <c r="G5" s="5"/>
    </row>
    <row r="6" spans="1:13">
      <c r="B6" s="5"/>
      <c r="F6" s="5"/>
      <c r="G6" s="5"/>
    </row>
    <row r="7" spans="1:13">
      <c r="B7" s="5"/>
      <c r="F7" s="5"/>
      <c r="G7" s="5"/>
    </row>
    <row r="8" spans="1:13">
      <c r="B8" s="5"/>
      <c r="F8" s="5"/>
      <c r="G8" s="5"/>
    </row>
    <row r="9" spans="1:13">
      <c r="B9" s="5"/>
      <c r="F9" s="5"/>
      <c r="G9" s="5"/>
    </row>
    <row r="10" spans="1:13">
      <c r="B10" s="5"/>
      <c r="F10" s="5"/>
      <c r="G10" s="5"/>
    </row>
    <row r="11" spans="1:13">
      <c r="B11" s="5"/>
      <c r="F11" s="5"/>
      <c r="G11" s="5"/>
    </row>
    <row r="12" spans="1:13">
      <c r="B12" s="5"/>
      <c r="F12" s="5"/>
      <c r="G12" s="5"/>
    </row>
    <row r="13" spans="1:13">
      <c r="B13" s="5"/>
      <c r="F13" s="5"/>
      <c r="G13" s="5"/>
    </row>
    <row r="14" spans="1:13">
      <c r="B14" s="5"/>
      <c r="F14" s="5"/>
      <c r="G14" s="5"/>
    </row>
    <row r="15" spans="1:13">
      <c r="B15" s="5"/>
      <c r="F15" s="5"/>
      <c r="G15" s="5"/>
    </row>
    <row r="16" spans="1:13">
      <c r="B16" s="5"/>
      <c r="F16" s="5"/>
      <c r="G16" s="5"/>
    </row>
    <row r="17" spans="2:7">
      <c r="B17" s="5"/>
      <c r="F17" s="5"/>
      <c r="G17" s="5"/>
    </row>
    <row r="18" spans="2:7">
      <c r="B18" s="5"/>
      <c r="F18" s="5"/>
      <c r="G18" s="5"/>
    </row>
    <row r="19" spans="2:7">
      <c r="B19" s="5"/>
      <c r="F19" s="5"/>
      <c r="G19" s="5"/>
    </row>
    <row r="20" spans="2:7">
      <c r="B20" s="5"/>
      <c r="F20" s="5"/>
      <c r="G20" s="5"/>
    </row>
    <row r="21" spans="2:7">
      <c r="B21" s="5"/>
      <c r="F21" s="5"/>
      <c r="G21" s="5"/>
    </row>
    <row r="22" spans="2:7">
      <c r="B22" s="5"/>
      <c r="F22" s="5"/>
      <c r="G22" s="5"/>
    </row>
    <row r="23" spans="2:7">
      <c r="B23" s="5"/>
      <c r="F23" s="5"/>
      <c r="G23" s="5"/>
    </row>
    <row r="24" spans="2:7">
      <c r="B24" s="5"/>
      <c r="F24" s="5"/>
      <c r="G24" s="5"/>
    </row>
    <row r="25" spans="2:7">
      <c r="B25" s="5"/>
      <c r="F25" s="5"/>
      <c r="G25" s="5"/>
    </row>
    <row r="26" spans="2:7">
      <c r="B26" s="5"/>
      <c r="F26" s="5"/>
      <c r="G26" s="5"/>
    </row>
    <row r="27" spans="2:7">
      <c r="B27" s="5"/>
      <c r="F27" s="5"/>
      <c r="G27" s="5"/>
    </row>
    <row r="28" spans="2:7">
      <c r="B28" s="5"/>
      <c r="F28" s="5"/>
      <c r="G28" s="5"/>
    </row>
    <row r="29" spans="2:7">
      <c r="B29" s="5"/>
      <c r="F29" s="5"/>
      <c r="G29" s="5"/>
    </row>
    <row r="30" spans="2:7">
      <c r="B30" s="5"/>
      <c r="F30" s="5"/>
      <c r="G30" s="5"/>
    </row>
    <row r="31" spans="2:7">
      <c r="B31" s="5"/>
      <c r="F31" s="5"/>
      <c r="G31" s="5"/>
    </row>
    <row r="32" spans="2:7">
      <c r="B32" s="5"/>
      <c r="F32" s="5"/>
      <c r="G32" s="5"/>
    </row>
    <row r="33" spans="2:7">
      <c r="B33" s="5"/>
      <c r="F33" s="5"/>
      <c r="G33" s="5"/>
    </row>
    <row r="34" spans="2:7">
      <c r="B34" s="5"/>
      <c r="F34" s="5"/>
      <c r="G34" s="5"/>
    </row>
    <row r="35" spans="2:7">
      <c r="B35" s="5"/>
      <c r="F35" s="5"/>
      <c r="G35" s="5"/>
    </row>
    <row r="36" spans="2:7">
      <c r="B36" s="5"/>
      <c r="F36" s="5"/>
      <c r="G36" s="5"/>
    </row>
    <row r="37" spans="2:7">
      <c r="B37" s="5"/>
      <c r="F37" s="5"/>
      <c r="G37" s="5"/>
    </row>
    <row r="38" spans="2:7">
      <c r="B38" s="5"/>
      <c r="F38" s="5"/>
      <c r="G38" s="5"/>
    </row>
    <row r="39" spans="2:7">
      <c r="B39" s="5"/>
      <c r="F39" s="5"/>
      <c r="G39" s="5"/>
    </row>
    <row r="40" spans="2:7">
      <c r="B40" s="5"/>
      <c r="F40" s="5"/>
      <c r="G40" s="5"/>
    </row>
    <row r="41" spans="2:7">
      <c r="B41" s="5"/>
      <c r="F41" s="5"/>
      <c r="G41" s="5"/>
    </row>
    <row r="42" spans="2:7">
      <c r="B42" s="5"/>
      <c r="F42" s="5"/>
      <c r="G42" s="5"/>
    </row>
    <row r="43" spans="2:7">
      <c r="B43" s="5"/>
      <c r="F43" s="5"/>
      <c r="G43" s="5"/>
    </row>
    <row r="44" spans="2:7">
      <c r="B44" s="5"/>
      <c r="F44" s="5"/>
      <c r="G44" s="5"/>
    </row>
    <row r="45" spans="2:7">
      <c r="B45" s="5"/>
      <c r="F45" s="5"/>
      <c r="G45" s="5"/>
    </row>
    <row r="46" spans="2:7">
      <c r="B46" s="5"/>
      <c r="F46" s="5"/>
      <c r="G46" s="5"/>
    </row>
    <row r="47" spans="2:7">
      <c r="B47" s="5"/>
      <c r="F47" s="5"/>
      <c r="G47" s="5"/>
    </row>
    <row r="48" spans="2:7">
      <c r="B48" s="5"/>
      <c r="F48" s="5"/>
      <c r="G48" s="5"/>
    </row>
    <row r="49" spans="2:7">
      <c r="B49" s="5"/>
      <c r="F49" s="5"/>
      <c r="G49" s="5"/>
    </row>
    <row r="50" spans="2:7">
      <c r="B50" s="5"/>
      <c r="F50" s="5"/>
      <c r="G50" s="5"/>
    </row>
    <row r="51" spans="2:7">
      <c r="B51" s="5"/>
      <c r="F51" s="5"/>
      <c r="G51" s="5"/>
    </row>
    <row r="52" spans="2:7">
      <c r="B52" s="5"/>
      <c r="F52" s="5"/>
      <c r="G52" s="5"/>
    </row>
    <row r="53" spans="2:7">
      <c r="B53" s="5"/>
      <c r="F53" s="5"/>
      <c r="G53" s="5"/>
    </row>
    <row r="54" spans="2:7">
      <c r="B54" s="5"/>
      <c r="F54" s="5"/>
      <c r="G54" s="5"/>
    </row>
    <row r="55" spans="2:7">
      <c r="B55" s="5"/>
      <c r="F55" s="5"/>
      <c r="G55" s="5"/>
    </row>
    <row r="56" spans="2:7">
      <c r="B56" s="5"/>
      <c r="F56" s="5"/>
      <c r="G56" s="5"/>
    </row>
    <row r="57" spans="2:7">
      <c r="B57" s="5"/>
      <c r="F57" s="5"/>
      <c r="G57" s="5"/>
    </row>
    <row r="58" spans="2:7">
      <c r="B58" s="5"/>
      <c r="F58" s="5"/>
      <c r="G58" s="5"/>
    </row>
    <row r="59" spans="2:7">
      <c r="B59" s="5"/>
      <c r="F59" s="5"/>
      <c r="G59" s="5"/>
    </row>
    <row r="60" spans="2:7">
      <c r="B60" s="5"/>
      <c r="F60" s="5"/>
      <c r="G60" s="5"/>
    </row>
    <row r="61" spans="2:7">
      <c r="B61" s="5"/>
      <c r="F61" s="5"/>
      <c r="G61" s="5"/>
    </row>
    <row r="62" spans="2:7">
      <c r="B62" s="5"/>
      <c r="F62" s="5"/>
      <c r="G62" s="5"/>
    </row>
    <row r="63" spans="2:7">
      <c r="B63" s="5"/>
      <c r="F63" s="5"/>
      <c r="G63" s="5"/>
    </row>
    <row r="64" spans="2:7">
      <c r="B64" s="5"/>
      <c r="F64" s="5"/>
      <c r="G64" s="5"/>
    </row>
    <row r="65" spans="2:7">
      <c r="B65" s="5"/>
      <c r="F65" s="5"/>
      <c r="G65" s="5"/>
    </row>
    <row r="66" spans="2:7">
      <c r="B66" s="5"/>
      <c r="F66" s="5"/>
      <c r="G66" s="5"/>
    </row>
    <row r="67" spans="2:7">
      <c r="B67" s="5"/>
      <c r="F67" s="5"/>
      <c r="G67" s="5"/>
    </row>
    <row r="68" spans="2:7">
      <c r="B68" s="5"/>
      <c r="F68" s="5"/>
      <c r="G68" s="5"/>
    </row>
    <row r="69" spans="2:7">
      <c r="B69" s="5"/>
      <c r="F69" s="5"/>
      <c r="G69" s="5"/>
    </row>
    <row r="70" spans="2:7">
      <c r="B70" s="5"/>
      <c r="F70" s="5"/>
      <c r="G70" s="5"/>
    </row>
    <row r="71" spans="2:7">
      <c r="B71" s="5"/>
      <c r="F71" s="5"/>
      <c r="G71" s="5"/>
    </row>
    <row r="72" spans="2:7">
      <c r="B72" s="5"/>
      <c r="F72" s="5"/>
      <c r="G72" s="5"/>
    </row>
    <row r="73" spans="2:7">
      <c r="B73" s="5"/>
      <c r="F73" s="5"/>
      <c r="G73" s="5"/>
    </row>
    <row r="74" spans="2:7">
      <c r="B74" s="5"/>
      <c r="F74" s="5"/>
      <c r="G74" s="5"/>
    </row>
    <row r="75" spans="2:7">
      <c r="B75" s="5"/>
      <c r="F75" s="5"/>
      <c r="G75" s="5"/>
    </row>
    <row r="76" spans="2:7">
      <c r="B76" s="5"/>
      <c r="F76" s="5"/>
      <c r="G76" s="5"/>
    </row>
    <row r="77" spans="2:7">
      <c r="B77" s="5"/>
      <c r="F77" s="5"/>
      <c r="G77" s="5"/>
    </row>
    <row r="78" spans="2:7">
      <c r="B78" s="5"/>
      <c r="F78" s="5"/>
      <c r="G78" s="5"/>
    </row>
    <row r="79" spans="2:7">
      <c r="B79" s="5"/>
      <c r="F79" s="5"/>
      <c r="G79" s="5"/>
    </row>
    <row r="80" spans="2:7">
      <c r="B80" s="5"/>
      <c r="F80" s="5"/>
      <c r="G80" s="5"/>
    </row>
    <row r="81" spans="2:7">
      <c r="B81" s="5"/>
      <c r="F81" s="5"/>
      <c r="G81" s="5"/>
    </row>
    <row r="82" spans="2:7">
      <c r="B82" s="5"/>
      <c r="F82" s="5"/>
      <c r="G82" s="5"/>
    </row>
    <row r="83" spans="2:7">
      <c r="B83" s="5"/>
      <c r="F83" s="5"/>
      <c r="G83" s="5"/>
    </row>
    <row r="84" spans="2:7">
      <c r="B84" s="5"/>
      <c r="F84" s="5"/>
      <c r="G84" s="5"/>
    </row>
    <row r="85" spans="2:7">
      <c r="B85" s="5"/>
      <c r="F85" s="5"/>
      <c r="G85" s="5"/>
    </row>
    <row r="86" spans="2:7">
      <c r="B86" s="5"/>
      <c r="F86" s="5"/>
      <c r="G86" s="5"/>
    </row>
    <row r="87" spans="2:7">
      <c r="B87" s="5"/>
      <c r="F87" s="5"/>
      <c r="G87" s="5"/>
    </row>
    <row r="88" spans="2:7">
      <c r="B88" s="5"/>
      <c r="F88" s="5"/>
      <c r="G88" s="5"/>
    </row>
    <row r="89" spans="2:7">
      <c r="B89" s="5"/>
      <c r="F89" s="5"/>
      <c r="G89" s="5"/>
    </row>
    <row r="90" spans="2:7">
      <c r="B90" s="5"/>
      <c r="F90" s="5"/>
      <c r="G90" s="5"/>
    </row>
    <row r="91" spans="2:7">
      <c r="B91" s="5"/>
      <c r="F91" s="5"/>
      <c r="G91" s="5"/>
    </row>
    <row r="92" spans="2:7">
      <c r="B92" s="5"/>
      <c r="F92" s="5"/>
      <c r="G92" s="5"/>
    </row>
    <row r="93" spans="2:7">
      <c r="B93" s="5"/>
      <c r="F93" s="5"/>
      <c r="G93" s="5"/>
    </row>
    <row r="94" spans="2:7">
      <c r="B94" s="5"/>
      <c r="F94" s="5"/>
      <c r="G94" s="5"/>
    </row>
    <row r="95" spans="2:7">
      <c r="B95" s="5"/>
      <c r="F95" s="5"/>
      <c r="G95" s="5"/>
    </row>
    <row r="96" spans="2:7">
      <c r="B96" s="5"/>
      <c r="F96" s="5"/>
      <c r="G96" s="5"/>
    </row>
    <row r="97" spans="2:7">
      <c r="B97" s="5"/>
      <c r="F97" s="5"/>
      <c r="G97" s="5"/>
    </row>
    <row r="98" spans="2:7">
      <c r="B98" s="5"/>
      <c r="F98" s="5"/>
      <c r="G98" s="5"/>
    </row>
    <row r="99" spans="2:7">
      <c r="B99" s="5"/>
      <c r="F99" s="5"/>
      <c r="G99" s="5"/>
    </row>
    <row r="100" spans="2:7">
      <c r="B100" s="5"/>
      <c r="F100" s="5"/>
      <c r="G100" s="5"/>
    </row>
    <row r="101" spans="2:7">
      <c r="B101" s="5"/>
      <c r="F101" s="5"/>
      <c r="G101" s="5"/>
    </row>
    <row r="102" spans="2:7">
      <c r="B102" s="5"/>
      <c r="F102" s="5"/>
      <c r="G102" s="5"/>
    </row>
    <row r="103" spans="2:7">
      <c r="B103" s="5"/>
      <c r="F103" s="5"/>
      <c r="G103" s="5"/>
    </row>
    <row r="104" spans="2:7">
      <c r="B104" s="5"/>
      <c r="F104" s="5"/>
      <c r="G104" s="5"/>
    </row>
    <row r="105" spans="2:7">
      <c r="B105" s="5"/>
      <c r="F105" s="5"/>
      <c r="G105" s="5"/>
    </row>
    <row r="106" spans="2:7">
      <c r="B106" s="5"/>
      <c r="F106" s="5"/>
      <c r="G106" s="5"/>
    </row>
    <row r="107" spans="2:7">
      <c r="B107" s="5"/>
      <c r="F107" s="5"/>
      <c r="G107" s="5"/>
    </row>
    <row r="108" spans="2:7">
      <c r="B108" s="5"/>
      <c r="F108" s="5"/>
      <c r="G108" s="5"/>
    </row>
    <row r="109" spans="2:7">
      <c r="B109" s="5"/>
      <c r="F109" s="5"/>
      <c r="G109" s="5"/>
    </row>
    <row r="110" spans="2:7">
      <c r="B110" s="5"/>
      <c r="F110" s="5"/>
      <c r="G110" s="5"/>
    </row>
    <row r="111" spans="2:7">
      <c r="B111" s="5"/>
      <c r="F111" s="5"/>
      <c r="G111" s="5"/>
    </row>
    <row r="112" spans="2:7">
      <c r="B112" s="5"/>
      <c r="F112" s="5"/>
      <c r="G112" s="5"/>
    </row>
    <row r="113" spans="2:7">
      <c r="B113" s="5"/>
      <c r="F113" s="5"/>
      <c r="G113" s="5"/>
    </row>
    <row r="114" spans="2:7">
      <c r="B114" s="5"/>
      <c r="F114" s="5"/>
      <c r="G114" s="5"/>
    </row>
    <row r="115" spans="2:7">
      <c r="B115" s="5"/>
      <c r="F115" s="5"/>
      <c r="G115" s="5"/>
    </row>
    <row r="116" spans="2:7">
      <c r="B116" s="5"/>
      <c r="F116" s="5"/>
      <c r="G116" s="5"/>
    </row>
    <row r="117" spans="2:7">
      <c r="B117" s="5"/>
      <c r="F117" s="5"/>
      <c r="G117" s="5"/>
    </row>
    <row r="118" spans="2:7">
      <c r="B118" s="5"/>
      <c r="F118" s="5"/>
      <c r="G118" s="5"/>
    </row>
    <row r="119" spans="2:7">
      <c r="B119" s="5"/>
      <c r="F119" s="5"/>
      <c r="G119" s="5"/>
    </row>
    <row r="120" spans="2:7">
      <c r="B120" s="5"/>
      <c r="F120" s="5"/>
      <c r="G120" s="5"/>
    </row>
    <row r="121" spans="2:7">
      <c r="B121" s="5"/>
      <c r="F121" s="5"/>
      <c r="G121" s="5"/>
    </row>
    <row r="122" spans="2:7">
      <c r="B122" s="5"/>
      <c r="F122" s="5"/>
      <c r="G122" s="5"/>
    </row>
    <row r="123" spans="2:7">
      <c r="B123" s="5"/>
      <c r="F123" s="5"/>
      <c r="G123" s="5"/>
    </row>
    <row r="124" spans="2:7">
      <c r="B124" s="5"/>
      <c r="F124" s="5"/>
      <c r="G124" s="5"/>
    </row>
    <row r="125" spans="2:7">
      <c r="B125" s="5"/>
      <c r="F125" s="5"/>
      <c r="G125" s="5"/>
    </row>
    <row r="126" spans="2:7">
      <c r="B126" s="5"/>
      <c r="F126" s="5"/>
      <c r="G126" s="5"/>
    </row>
    <row r="127" spans="2:7">
      <c r="B127" s="5"/>
      <c r="F127" s="5"/>
      <c r="G127" s="5"/>
    </row>
    <row r="128" spans="2:7">
      <c r="B128" s="5"/>
      <c r="F128" s="5"/>
      <c r="G128" s="5"/>
    </row>
    <row r="129" spans="2:7">
      <c r="B129" s="5"/>
      <c r="F129" s="5"/>
      <c r="G129" s="5"/>
    </row>
    <row r="130" spans="2:7">
      <c r="B130" s="5"/>
      <c r="F130" s="5"/>
      <c r="G130" s="5"/>
    </row>
    <row r="131" spans="2:7">
      <c r="B131" s="5"/>
      <c r="F131" s="5"/>
      <c r="G131" s="5"/>
    </row>
    <row r="132" spans="2:7">
      <c r="B132" s="5"/>
      <c r="F132" s="5"/>
      <c r="G132" s="5"/>
    </row>
    <row r="133" spans="2:7">
      <c r="B133" s="5"/>
      <c r="F133" s="5"/>
      <c r="G133" s="5"/>
    </row>
    <row r="134" spans="2:7">
      <c r="B134" s="5"/>
      <c r="F134" s="5"/>
      <c r="G134" s="5"/>
    </row>
    <row r="135" spans="2:7">
      <c r="B135" s="5"/>
      <c r="F135" s="5"/>
      <c r="G135" s="5"/>
    </row>
    <row r="136" spans="2:7">
      <c r="B136" s="5"/>
      <c r="F136" s="5"/>
      <c r="G136" s="5"/>
    </row>
    <row r="137" spans="2:7">
      <c r="B137" s="5"/>
      <c r="F137" s="5"/>
      <c r="G137" s="5"/>
    </row>
    <row r="138" spans="2:7">
      <c r="B138" s="5"/>
      <c r="F138" s="5"/>
      <c r="G138" s="5"/>
    </row>
    <row r="139" spans="2:7">
      <c r="B139" s="5"/>
      <c r="F139" s="5"/>
      <c r="G139" s="5"/>
    </row>
    <row r="140" spans="2:7">
      <c r="B140" s="5"/>
      <c r="F140" s="5"/>
      <c r="G140" s="5"/>
    </row>
    <row r="141" spans="2:7">
      <c r="B141" s="5"/>
      <c r="F141" s="5"/>
      <c r="G141" s="5"/>
    </row>
    <row r="142" spans="2:7">
      <c r="B142" s="5"/>
      <c r="F142" s="5"/>
      <c r="G142" s="5"/>
    </row>
    <row r="143" spans="2:7">
      <c r="B143" s="5"/>
      <c r="F143" s="5"/>
      <c r="G143" s="5"/>
    </row>
    <row r="144" spans="2:7">
      <c r="B144" s="5"/>
      <c r="F144" s="5"/>
      <c r="G144" s="5"/>
    </row>
    <row r="145" spans="2:7">
      <c r="B145" s="5"/>
      <c r="F145" s="5"/>
      <c r="G145" s="5"/>
    </row>
    <row r="146" spans="2:7">
      <c r="B146" s="5"/>
      <c r="F146" s="5"/>
      <c r="G146" s="5"/>
    </row>
    <row r="147" spans="2:7">
      <c r="B147" s="5"/>
      <c r="F147" s="5"/>
      <c r="G147" s="5"/>
    </row>
    <row r="148" spans="2:7">
      <c r="B148" s="5"/>
      <c r="F148" s="5"/>
      <c r="G148" s="5"/>
    </row>
    <row r="149" spans="2:7">
      <c r="B149" s="5"/>
      <c r="F149" s="5"/>
      <c r="G149" s="5"/>
    </row>
    <row r="150" spans="2:7">
      <c r="B150" s="5"/>
      <c r="F150" s="5"/>
      <c r="G150" s="5"/>
    </row>
    <row r="151" spans="2:7">
      <c r="B151" s="5"/>
      <c r="F151" s="5"/>
      <c r="G151" s="5"/>
    </row>
    <row r="152" spans="2:7">
      <c r="B152" s="5"/>
      <c r="F152" s="5"/>
      <c r="G152" s="5"/>
    </row>
    <row r="153" spans="2:7">
      <c r="B153" s="5"/>
      <c r="F153" s="5"/>
      <c r="G153" s="5"/>
    </row>
    <row r="154" spans="2:7">
      <c r="B154" s="5"/>
      <c r="F154" s="5"/>
      <c r="G154" s="5"/>
    </row>
    <row r="155" spans="2:7">
      <c r="B155" s="5"/>
      <c r="F155" s="5"/>
      <c r="G155" s="5"/>
    </row>
    <row r="156" spans="2:7">
      <c r="B156" s="5"/>
      <c r="F156" s="5"/>
      <c r="G156" s="5"/>
    </row>
    <row r="157" spans="2:7">
      <c r="B157" s="5"/>
      <c r="F157" s="5"/>
      <c r="G157" s="5"/>
    </row>
    <row r="158" spans="2:7">
      <c r="B158" s="5"/>
      <c r="F158" s="5"/>
      <c r="G158" s="5"/>
    </row>
    <row r="159" spans="2:7">
      <c r="B159" s="5"/>
      <c r="F159" s="5"/>
      <c r="G159" s="5"/>
    </row>
    <row r="160" spans="2:7">
      <c r="B160" s="5"/>
      <c r="F160" s="5"/>
      <c r="G160" s="5"/>
    </row>
    <row r="161" spans="2:7">
      <c r="B161" s="5"/>
      <c r="F161" s="5"/>
      <c r="G161" s="5"/>
    </row>
    <row r="162" spans="2:7">
      <c r="B162" s="5"/>
      <c r="F162" s="5"/>
      <c r="G162" s="5"/>
    </row>
    <row r="163" spans="2:7">
      <c r="B163" s="5"/>
      <c r="F163" s="5"/>
      <c r="G163" s="5"/>
    </row>
    <row r="164" spans="2:7">
      <c r="B164" s="5"/>
      <c r="F164" s="5"/>
      <c r="G164" s="5"/>
    </row>
    <row r="165" spans="2:7">
      <c r="B165" s="5"/>
      <c r="F165" s="5"/>
      <c r="G165" s="5"/>
    </row>
    <row r="166" spans="2:7">
      <c r="B166" s="5"/>
      <c r="F166" s="5"/>
      <c r="G166" s="5"/>
    </row>
    <row r="167" spans="2:7">
      <c r="B167" s="5"/>
      <c r="F167" s="5"/>
      <c r="G167" s="5"/>
    </row>
    <row r="168" spans="2:7">
      <c r="B168" s="5"/>
      <c r="F168" s="5"/>
      <c r="G168" s="5"/>
    </row>
    <row r="169" spans="2:7">
      <c r="B169" s="5"/>
      <c r="F169" s="5"/>
      <c r="G169" s="5"/>
    </row>
    <row r="170" spans="2:7">
      <c r="B170" s="5"/>
      <c r="F170" s="5"/>
      <c r="G170" s="5"/>
    </row>
    <row r="171" spans="2:7">
      <c r="B171" s="5"/>
      <c r="F171" s="5"/>
      <c r="G171" s="5"/>
    </row>
    <row r="172" spans="2:7">
      <c r="B172" s="5"/>
      <c r="F172" s="5"/>
      <c r="G172" s="5"/>
    </row>
    <row r="173" spans="2:7">
      <c r="B173" s="5"/>
      <c r="F173" s="5"/>
      <c r="G173" s="5"/>
    </row>
    <row r="174" spans="2:7">
      <c r="B174" s="5"/>
      <c r="F174" s="5"/>
      <c r="G174" s="5"/>
    </row>
    <row r="175" spans="2:7">
      <c r="B175" s="5"/>
      <c r="F175" s="5"/>
      <c r="G175" s="5"/>
    </row>
    <row r="176" spans="2:7">
      <c r="B176" s="5"/>
      <c r="F176" s="5"/>
      <c r="G176" s="5"/>
    </row>
    <row r="177" spans="2:7">
      <c r="B177" s="5"/>
      <c r="F177" s="5"/>
      <c r="G177" s="5"/>
    </row>
    <row r="178" spans="2:7">
      <c r="B178" s="5"/>
      <c r="F178" s="5"/>
      <c r="G178" s="5"/>
    </row>
    <row r="179" spans="2:7">
      <c r="B179" s="5"/>
      <c r="F179" s="5"/>
      <c r="G179" s="5"/>
    </row>
    <row r="180" spans="2:7">
      <c r="B180" s="5"/>
      <c r="F180" s="5"/>
      <c r="G180" s="5"/>
    </row>
    <row r="181" spans="2:7">
      <c r="B181" s="5"/>
      <c r="F181" s="5"/>
      <c r="G181" s="5"/>
    </row>
    <row r="182" spans="2:7">
      <c r="B182" s="5"/>
      <c r="F182" s="5"/>
      <c r="G182" s="5"/>
    </row>
    <row r="183" spans="2:7">
      <c r="B183" s="5"/>
      <c r="F183" s="5"/>
      <c r="G183" s="5"/>
    </row>
    <row r="184" spans="2:7">
      <c r="B184" s="5"/>
      <c r="F184" s="5"/>
      <c r="G184" s="5"/>
    </row>
    <row r="185" spans="2:7">
      <c r="B185" s="5"/>
      <c r="F185" s="5"/>
      <c r="G185" s="5"/>
    </row>
    <row r="186" spans="2:7">
      <c r="B186" s="5"/>
      <c r="F186" s="5"/>
      <c r="G186" s="5"/>
    </row>
    <row r="187" spans="2:7">
      <c r="B187" s="5"/>
      <c r="F187" s="5"/>
      <c r="G187" s="5"/>
    </row>
    <row r="188" spans="2:7">
      <c r="B188" s="5"/>
      <c r="F188" s="5"/>
      <c r="G188" s="5"/>
    </row>
    <row r="189" spans="2:7">
      <c r="B189" s="5"/>
      <c r="F189" s="5"/>
      <c r="G189" s="5"/>
    </row>
    <row r="190" spans="2:7">
      <c r="B190" s="5"/>
      <c r="F190" s="5"/>
      <c r="G190" s="5"/>
    </row>
    <row r="191" spans="2:7">
      <c r="B191" s="5"/>
      <c r="F191" s="5"/>
      <c r="G191" s="5"/>
    </row>
    <row r="192" spans="2:7">
      <c r="B192" s="5"/>
      <c r="F192" s="5"/>
      <c r="G192" s="5"/>
    </row>
    <row r="193" spans="2:7">
      <c r="B193" s="5"/>
      <c r="F193" s="5"/>
      <c r="G193" s="5"/>
    </row>
    <row r="194" spans="2:7">
      <c r="B194" s="5"/>
      <c r="F194" s="5"/>
      <c r="G194" s="5"/>
    </row>
    <row r="195" spans="2:7">
      <c r="B195" s="5"/>
      <c r="F195" s="5"/>
      <c r="G195" s="5"/>
    </row>
    <row r="196" spans="2:7">
      <c r="B196" s="5"/>
      <c r="F196" s="5"/>
      <c r="G196" s="5"/>
    </row>
    <row r="197" spans="2:7">
      <c r="B197" s="5"/>
      <c r="F197" s="5"/>
      <c r="G197" s="5"/>
    </row>
    <row r="198" spans="2:7">
      <c r="B198" s="5"/>
      <c r="F198" s="5"/>
      <c r="G198" s="5"/>
    </row>
    <row r="199" spans="2:7">
      <c r="B199" s="5"/>
      <c r="F199" s="5"/>
      <c r="G199" s="5"/>
    </row>
    <row r="200" spans="2:7">
      <c r="B200" s="5"/>
      <c r="F200" s="5"/>
      <c r="G200" s="5"/>
    </row>
    <row r="201" spans="2:7">
      <c r="B201" s="5"/>
      <c r="F201" s="5"/>
      <c r="G201" s="5"/>
    </row>
    <row r="202" spans="2:7">
      <c r="B202" s="5"/>
      <c r="F202" s="5"/>
      <c r="G202" s="5"/>
    </row>
    <row r="203" spans="2:7">
      <c r="B203" s="5"/>
      <c r="F203" s="5"/>
      <c r="G203" s="5"/>
    </row>
    <row r="204" spans="2:7">
      <c r="B204" s="5"/>
      <c r="F204" s="5"/>
      <c r="G204" s="5"/>
    </row>
    <row r="205" spans="2:7">
      <c r="B205" s="5"/>
      <c r="F205" s="5"/>
      <c r="G205" s="5"/>
    </row>
    <row r="206" spans="2:7">
      <c r="B206" s="5"/>
      <c r="F206" s="5"/>
      <c r="G206" s="5"/>
    </row>
    <row r="207" spans="2:7">
      <c r="B207" s="5"/>
      <c r="F207" s="5"/>
      <c r="G207" s="5"/>
    </row>
    <row r="208" spans="2:7">
      <c r="B208" s="5"/>
      <c r="F208" s="5"/>
      <c r="G208" s="5"/>
    </row>
    <row r="209" spans="2:7">
      <c r="B209" s="5"/>
      <c r="F209" s="5"/>
      <c r="G209" s="5"/>
    </row>
    <row r="210" spans="2:7">
      <c r="B210" s="5"/>
      <c r="F210" s="5"/>
      <c r="G210" s="5"/>
    </row>
    <row r="211" spans="2:7">
      <c r="B211" s="5"/>
      <c r="F211" s="5"/>
      <c r="G211" s="5"/>
    </row>
    <row r="212" spans="2:7">
      <c r="B212" s="5"/>
      <c r="F212" s="5"/>
      <c r="G212" s="5"/>
    </row>
    <row r="213" spans="2:7">
      <c r="B213" s="5"/>
      <c r="F213" s="5"/>
      <c r="G213" s="5"/>
    </row>
    <row r="214" spans="2:7">
      <c r="B214" s="5"/>
      <c r="F214" s="5"/>
      <c r="G214" s="5"/>
    </row>
    <row r="215" spans="2:7">
      <c r="B215" s="5"/>
      <c r="F215" s="5"/>
      <c r="G215" s="5"/>
    </row>
    <row r="216" spans="2:7">
      <c r="B216" s="5"/>
      <c r="F216" s="5"/>
      <c r="G216" s="5"/>
    </row>
    <row r="217" spans="2:7">
      <c r="B217" s="5"/>
      <c r="F217" s="5"/>
      <c r="G217" s="5"/>
    </row>
    <row r="218" spans="2:7">
      <c r="B218" s="5"/>
      <c r="F218" s="5"/>
      <c r="G218" s="5"/>
    </row>
    <row r="219" spans="2:7">
      <c r="B219" s="5"/>
      <c r="F219" s="5"/>
      <c r="G219" s="5"/>
    </row>
    <row r="220" spans="2:7">
      <c r="B220" s="5"/>
      <c r="F220" s="5"/>
      <c r="G220" s="5"/>
    </row>
    <row r="221" spans="2:7">
      <c r="B221" s="5"/>
      <c r="F221" s="5"/>
      <c r="G221" s="5"/>
    </row>
    <row r="222" spans="2:7">
      <c r="B222" s="5"/>
      <c r="F222" s="5"/>
      <c r="G222" s="5"/>
    </row>
    <row r="223" spans="2:7">
      <c r="B223" s="5"/>
      <c r="F223" s="5"/>
      <c r="G223" s="5"/>
    </row>
    <row r="224" spans="2:7">
      <c r="B224" s="5"/>
      <c r="F224" s="5"/>
      <c r="G224" s="5"/>
    </row>
    <row r="225" spans="2:7">
      <c r="B225" s="5"/>
      <c r="F225" s="5"/>
      <c r="G225" s="5"/>
    </row>
    <row r="226" spans="2:7">
      <c r="B226" s="5"/>
      <c r="F226" s="5"/>
      <c r="G226" s="5"/>
    </row>
    <row r="227" spans="2:7">
      <c r="B227" s="5"/>
      <c r="F227" s="5"/>
      <c r="G227" s="5"/>
    </row>
    <row r="228" spans="2:7">
      <c r="B228" s="5"/>
      <c r="F228" s="5"/>
      <c r="G228" s="5"/>
    </row>
    <row r="229" spans="2:7">
      <c r="B229" s="5"/>
      <c r="F229" s="5"/>
      <c r="G229" s="5"/>
    </row>
    <row r="230" spans="2:7">
      <c r="B230" s="5"/>
      <c r="F230" s="5"/>
      <c r="G230" s="5"/>
    </row>
    <row r="231" spans="2:7">
      <c r="B231" s="5"/>
      <c r="F231" s="5"/>
      <c r="G231" s="5"/>
    </row>
    <row r="232" spans="2:7">
      <c r="B232" s="5"/>
      <c r="F232" s="5"/>
      <c r="G232" s="5"/>
    </row>
    <row r="233" spans="2:7">
      <c r="B233" s="5"/>
      <c r="F233" s="5"/>
      <c r="G233" s="5"/>
    </row>
    <row r="234" spans="2:7">
      <c r="B234" s="5"/>
      <c r="F234" s="5"/>
      <c r="G234" s="5"/>
    </row>
    <row r="235" spans="2:7">
      <c r="B235" s="5"/>
      <c r="F235" s="5"/>
      <c r="G235" s="5"/>
    </row>
    <row r="236" spans="2:7">
      <c r="B236" s="5"/>
      <c r="F236" s="5"/>
      <c r="G236" s="5"/>
    </row>
    <row r="237" spans="2:7">
      <c r="B237" s="5"/>
      <c r="F237" s="5"/>
      <c r="G237" s="5"/>
    </row>
    <row r="238" spans="2:7">
      <c r="B238" s="5"/>
      <c r="F238" s="5"/>
      <c r="G238" s="5"/>
    </row>
    <row r="239" spans="2:7">
      <c r="B239" s="5"/>
      <c r="F239" s="5"/>
      <c r="G239" s="5"/>
    </row>
    <row r="240" spans="2:7">
      <c r="B240" s="5"/>
      <c r="F240" s="5"/>
      <c r="G240" s="5"/>
    </row>
    <row r="241" spans="2:7">
      <c r="B241" s="5"/>
      <c r="F241" s="5"/>
      <c r="G241" s="5"/>
    </row>
    <row r="242" spans="2:7">
      <c r="B242" s="5"/>
      <c r="F242" s="5"/>
      <c r="G242" s="5"/>
    </row>
    <row r="243" spans="2:7">
      <c r="B243" s="5"/>
      <c r="F243" s="5"/>
      <c r="G243" s="5"/>
    </row>
    <row r="244" spans="2:7">
      <c r="B244" s="5"/>
      <c r="F244" s="5"/>
      <c r="G244" s="5"/>
    </row>
    <row r="245" spans="2:7">
      <c r="B245" s="5"/>
      <c r="F245" s="5"/>
      <c r="G245" s="5"/>
    </row>
    <row r="246" spans="2:7">
      <c r="B246" s="5"/>
      <c r="F246" s="5"/>
      <c r="G246" s="5"/>
    </row>
    <row r="247" spans="2:7">
      <c r="B247" s="5"/>
      <c r="F247" s="5"/>
      <c r="G247" s="5"/>
    </row>
    <row r="248" spans="2:7">
      <c r="B248" s="5"/>
      <c r="F248" s="5"/>
      <c r="G248" s="5"/>
    </row>
    <row r="249" spans="2:7">
      <c r="B249" s="5"/>
      <c r="F249" s="5"/>
      <c r="G249" s="5"/>
    </row>
    <row r="250" spans="2:7">
      <c r="B250" s="5"/>
      <c r="F250" s="5"/>
      <c r="G250" s="5"/>
    </row>
    <row r="251" spans="2:7">
      <c r="B251" s="5"/>
      <c r="F251" s="5"/>
      <c r="G251" s="5"/>
    </row>
    <row r="252" spans="2:7">
      <c r="B252" s="5"/>
      <c r="F252" s="5"/>
      <c r="G252" s="5"/>
    </row>
    <row r="253" spans="2:7">
      <c r="B253" s="5"/>
      <c r="F253" s="5"/>
      <c r="G253" s="5"/>
    </row>
    <row r="254" spans="2:7">
      <c r="B254" s="5"/>
      <c r="F254" s="5"/>
      <c r="G254" s="5"/>
    </row>
    <row r="255" spans="2:7">
      <c r="B255" s="5"/>
      <c r="F255" s="5"/>
      <c r="G255" s="5"/>
    </row>
    <row r="256" spans="2:7">
      <c r="B256" s="5"/>
      <c r="F256" s="5"/>
      <c r="G256" s="5"/>
    </row>
    <row r="257" spans="2:7">
      <c r="B257" s="5"/>
      <c r="F257" s="5"/>
      <c r="G257" s="5"/>
    </row>
    <row r="258" spans="2:7">
      <c r="B258" s="5"/>
      <c r="F258" s="5"/>
      <c r="G258" s="5"/>
    </row>
    <row r="259" spans="2:7">
      <c r="B259" s="5"/>
      <c r="F259" s="5"/>
      <c r="G259" s="5"/>
    </row>
    <row r="260" spans="2:7">
      <c r="B260" s="5"/>
      <c r="F260" s="5"/>
      <c r="G260" s="5"/>
    </row>
    <row r="261" spans="2:7">
      <c r="B261" s="5"/>
      <c r="F261" s="5"/>
      <c r="G261" s="5"/>
    </row>
    <row r="262" spans="2:7">
      <c r="B262" s="5"/>
      <c r="F262" s="5"/>
      <c r="G262" s="5"/>
    </row>
    <row r="263" spans="2:7">
      <c r="B263" s="5"/>
      <c r="F263" s="5"/>
      <c r="G263" s="5"/>
    </row>
    <row r="264" spans="2:7">
      <c r="B264" s="5"/>
      <c r="F264" s="5"/>
      <c r="G264" s="5"/>
    </row>
    <row r="265" spans="2:7">
      <c r="B265" s="5"/>
      <c r="F265" s="5"/>
      <c r="G265" s="5"/>
    </row>
    <row r="266" spans="2:7">
      <c r="B266" s="5"/>
      <c r="F266" s="5"/>
      <c r="G266" s="5"/>
    </row>
    <row r="267" spans="2:7">
      <c r="B267" s="5"/>
      <c r="F267" s="5"/>
      <c r="G267" s="5"/>
    </row>
    <row r="268" spans="2:7">
      <c r="B268" s="5"/>
      <c r="F268" s="5"/>
      <c r="G268" s="5"/>
    </row>
    <row r="269" spans="2:7">
      <c r="B269" s="5"/>
      <c r="F269" s="5"/>
      <c r="G269" s="5"/>
    </row>
    <row r="270" spans="2:7">
      <c r="B270" s="5"/>
      <c r="F270" s="5"/>
      <c r="G270" s="5"/>
    </row>
    <row r="271" spans="2:7">
      <c r="B271" s="5"/>
      <c r="F271" s="5"/>
      <c r="G271" s="5"/>
    </row>
    <row r="272" spans="2:7">
      <c r="B272" s="5"/>
      <c r="F272" s="5"/>
      <c r="G272" s="5"/>
    </row>
    <row r="273" spans="2:7">
      <c r="B273" s="5"/>
      <c r="F273" s="5"/>
      <c r="G273" s="5"/>
    </row>
    <row r="274" spans="2:7">
      <c r="B274" s="5"/>
      <c r="F274" s="5"/>
      <c r="G274" s="5"/>
    </row>
    <row r="275" spans="2:7">
      <c r="B275" s="5"/>
      <c r="F275" s="5"/>
      <c r="G275" s="5"/>
    </row>
    <row r="276" spans="2:7">
      <c r="B276" s="5"/>
      <c r="F276" s="5"/>
      <c r="G276" s="5"/>
    </row>
    <row r="277" spans="2:7">
      <c r="B277" s="5"/>
      <c r="F277" s="5"/>
      <c r="G277" s="5"/>
    </row>
    <row r="278" spans="2:7">
      <c r="B278" s="5"/>
      <c r="F278" s="5"/>
      <c r="G278" s="5"/>
    </row>
    <row r="279" spans="2:7">
      <c r="B279" s="5"/>
      <c r="F279" s="5"/>
      <c r="G279" s="5"/>
    </row>
    <row r="280" spans="2:7">
      <c r="B280" s="5"/>
      <c r="F280" s="5"/>
      <c r="G280" s="5"/>
    </row>
    <row r="281" spans="2:7">
      <c r="B281" s="5"/>
      <c r="F281" s="5"/>
      <c r="G281" s="5"/>
    </row>
    <row r="282" spans="2:7">
      <c r="B282" s="5"/>
      <c r="F282" s="5"/>
      <c r="G282" s="5"/>
    </row>
    <row r="283" spans="2:7">
      <c r="B283" s="5"/>
      <c r="F283" s="5"/>
      <c r="G283" s="5"/>
    </row>
    <row r="284" spans="2:7">
      <c r="B284" s="5"/>
      <c r="F284" s="5"/>
      <c r="G284" s="5"/>
    </row>
    <row r="285" spans="2:7">
      <c r="B285" s="5"/>
      <c r="F285" s="5"/>
      <c r="G285" s="5"/>
    </row>
    <row r="286" spans="2:7">
      <c r="B286" s="5"/>
      <c r="F286" s="5"/>
      <c r="G286" s="5"/>
    </row>
    <row r="287" spans="2:7">
      <c r="B287" s="5"/>
      <c r="F287" s="5"/>
      <c r="G287" s="5"/>
    </row>
    <row r="288" spans="2:7">
      <c r="B288" s="5"/>
      <c r="F288" s="5"/>
      <c r="G288" s="5"/>
    </row>
    <row r="289" spans="2:7">
      <c r="B289" s="5"/>
      <c r="F289" s="5"/>
      <c r="G289" s="5"/>
    </row>
    <row r="290" spans="2:7">
      <c r="B290" s="5"/>
      <c r="F290" s="5"/>
      <c r="G290" s="5"/>
    </row>
    <row r="291" spans="2:7">
      <c r="B291" s="5"/>
      <c r="F291" s="5"/>
      <c r="G291" s="5"/>
    </row>
    <row r="292" spans="2:7">
      <c r="B292" s="5"/>
      <c r="F292" s="5"/>
      <c r="G292" s="5"/>
    </row>
    <row r="293" spans="2:7">
      <c r="B293" s="5"/>
      <c r="F293" s="5"/>
      <c r="G293" s="5"/>
    </row>
    <row r="294" spans="2:7">
      <c r="B294" s="5"/>
      <c r="F294" s="5"/>
      <c r="G294" s="5"/>
    </row>
    <row r="295" spans="2:7">
      <c r="B295" s="5"/>
      <c r="F295" s="5"/>
      <c r="G295" s="5"/>
    </row>
    <row r="296" spans="2:7">
      <c r="B296" s="5"/>
      <c r="F296" s="5"/>
      <c r="G296" s="5"/>
    </row>
    <row r="297" spans="2:7">
      <c r="B297" s="5"/>
      <c r="F297" s="5"/>
      <c r="G297" s="5"/>
    </row>
    <row r="298" spans="2:7">
      <c r="B298" s="5"/>
      <c r="F298" s="5"/>
      <c r="G298" s="5"/>
    </row>
    <row r="299" spans="2:7">
      <c r="B299" s="5"/>
      <c r="F299" s="5"/>
      <c r="G299" s="5"/>
    </row>
    <row r="300" spans="2:7">
      <c r="B300" s="5"/>
      <c r="F300" s="5"/>
      <c r="G300" s="5"/>
    </row>
    <row r="301" spans="2:7">
      <c r="B301" s="5"/>
      <c r="F301" s="5"/>
      <c r="G301" s="5"/>
    </row>
    <row r="302" spans="2:7">
      <c r="B302" s="5"/>
      <c r="F302" s="5"/>
      <c r="G302" s="5"/>
    </row>
    <row r="303" spans="2:7">
      <c r="B303" s="5"/>
      <c r="F303" s="5"/>
      <c r="G303" s="5"/>
    </row>
    <row r="304" spans="2:7">
      <c r="B304" s="5"/>
      <c r="F304" s="5"/>
      <c r="G304" s="5"/>
    </row>
    <row r="305" spans="2:7">
      <c r="B305" s="5"/>
      <c r="F305" s="5"/>
      <c r="G305" s="5"/>
    </row>
    <row r="306" spans="2:7">
      <c r="B306" s="5"/>
      <c r="F306" s="5"/>
      <c r="G306" s="5"/>
    </row>
    <row r="307" spans="2:7">
      <c r="B307" s="5"/>
      <c r="F307" s="5"/>
      <c r="G307" s="5"/>
    </row>
    <row r="308" spans="2:7">
      <c r="B308" s="5"/>
      <c r="F308" s="5"/>
      <c r="G308" s="5"/>
    </row>
    <row r="309" spans="2:7">
      <c r="B309" s="5"/>
      <c r="F309" s="5"/>
      <c r="G309" s="5"/>
    </row>
    <row r="310" spans="2:7">
      <c r="B310" s="5"/>
      <c r="F310" s="5"/>
      <c r="G310" s="5"/>
    </row>
    <row r="311" spans="2:7">
      <c r="B311" s="5"/>
      <c r="F311" s="5"/>
      <c r="G311" s="5"/>
    </row>
    <row r="312" spans="2:7">
      <c r="B312" s="5"/>
      <c r="F312" s="5"/>
      <c r="G312" s="5"/>
    </row>
    <row r="313" spans="2:7">
      <c r="B313" s="5"/>
      <c r="F313" s="5"/>
      <c r="G313" s="5"/>
    </row>
    <row r="314" spans="2:7">
      <c r="B314" s="5"/>
      <c r="F314" s="5"/>
      <c r="G314" s="5"/>
    </row>
    <row r="315" spans="2:7">
      <c r="B315" s="5"/>
      <c r="F315" s="5"/>
      <c r="G315" s="5"/>
    </row>
    <row r="316" spans="2:7">
      <c r="B316" s="5"/>
      <c r="F316" s="5"/>
      <c r="G316" s="5"/>
    </row>
    <row r="317" spans="2:7">
      <c r="B317" s="5"/>
      <c r="F317" s="5"/>
      <c r="G317" s="5"/>
    </row>
    <row r="318" spans="2:7">
      <c r="B318" s="5"/>
      <c r="F318" s="5"/>
      <c r="G318" s="5"/>
    </row>
    <row r="319" spans="2:7">
      <c r="B319" s="5"/>
      <c r="F319" s="5"/>
      <c r="G319" s="5"/>
    </row>
    <row r="320" spans="2:7">
      <c r="B320" s="5"/>
      <c r="F320" s="5"/>
      <c r="G320" s="5"/>
    </row>
    <row r="321" spans="2:7">
      <c r="B321" s="5"/>
      <c r="F321" s="5"/>
      <c r="G321" s="5"/>
    </row>
    <row r="322" spans="2:7">
      <c r="B322" s="5"/>
      <c r="F322" s="5"/>
      <c r="G322" s="5"/>
    </row>
    <row r="323" spans="2:7">
      <c r="B323" s="5"/>
      <c r="F323" s="5"/>
      <c r="G323" s="5"/>
    </row>
    <row r="324" spans="2:7">
      <c r="B324" s="5"/>
      <c r="F324" s="5"/>
      <c r="G324" s="5"/>
    </row>
    <row r="325" spans="2:7">
      <c r="B325" s="5"/>
      <c r="F325" s="5"/>
      <c r="G325" s="5"/>
    </row>
    <row r="326" spans="2:7">
      <c r="B326" s="5"/>
      <c r="F326" s="5"/>
      <c r="G326" s="5"/>
    </row>
    <row r="327" spans="2:7">
      <c r="B327" s="5"/>
      <c r="F327" s="5"/>
      <c r="G327" s="5"/>
    </row>
    <row r="328" spans="2:7">
      <c r="B328" s="5"/>
      <c r="F328" s="5"/>
      <c r="G328" s="5"/>
    </row>
    <row r="329" spans="2:7">
      <c r="B329" s="5"/>
      <c r="F329" s="5"/>
      <c r="G329" s="5"/>
    </row>
    <row r="330" spans="2:7">
      <c r="B330" s="5"/>
      <c r="F330" s="5"/>
      <c r="G330" s="5"/>
    </row>
    <row r="331" spans="2:7">
      <c r="B331" s="5"/>
      <c r="F331" s="5"/>
      <c r="G331" s="5"/>
    </row>
    <row r="332" spans="2:7">
      <c r="B332" s="5"/>
      <c r="F332" s="5"/>
      <c r="G332" s="5"/>
    </row>
    <row r="333" spans="2:7">
      <c r="B333" s="5"/>
      <c r="F333" s="5"/>
      <c r="G333" s="5"/>
    </row>
    <row r="334" spans="2:7">
      <c r="B334" s="5"/>
      <c r="F334" s="5"/>
      <c r="G334" s="5"/>
    </row>
    <row r="335" spans="2:7">
      <c r="B335" s="5"/>
      <c r="F335" s="5"/>
      <c r="G335" s="5"/>
    </row>
    <row r="336" spans="2:7">
      <c r="B336" s="5"/>
      <c r="F336" s="5"/>
      <c r="G336" s="5"/>
    </row>
    <row r="337" spans="2:7">
      <c r="B337" s="5"/>
      <c r="F337" s="5"/>
      <c r="G337" s="5"/>
    </row>
    <row r="338" spans="2:7">
      <c r="B338" s="5"/>
      <c r="F338" s="5"/>
      <c r="G338" s="5"/>
    </row>
    <row r="339" spans="2:7">
      <c r="B339" s="5"/>
      <c r="F339" s="5"/>
      <c r="G339" s="5"/>
    </row>
    <row r="340" spans="2:7">
      <c r="B340" s="5"/>
      <c r="F340" s="5"/>
      <c r="G340" s="5"/>
    </row>
    <row r="341" spans="2:7">
      <c r="B341" s="5"/>
      <c r="F341" s="5"/>
      <c r="G341" s="5"/>
    </row>
    <row r="342" spans="2:7">
      <c r="B342" s="5"/>
      <c r="F342" s="5"/>
      <c r="G342" s="5"/>
    </row>
    <row r="343" spans="2:7">
      <c r="B343" s="5"/>
      <c r="F343" s="5"/>
      <c r="G343" s="5"/>
    </row>
    <row r="344" spans="2:7">
      <c r="B344" s="5"/>
      <c r="F344" s="5"/>
      <c r="G344" s="5"/>
    </row>
    <row r="345" spans="2:7">
      <c r="B345" s="5"/>
      <c r="F345" s="5"/>
      <c r="G345" s="5"/>
    </row>
    <row r="346" spans="2:7">
      <c r="B346" s="5"/>
      <c r="F346" s="5"/>
      <c r="G346" s="5"/>
    </row>
    <row r="347" spans="2:7">
      <c r="B347" s="5"/>
      <c r="F347" s="5"/>
      <c r="G347" s="5"/>
    </row>
    <row r="348" spans="2:7">
      <c r="B348" s="5"/>
      <c r="F348" s="5"/>
      <c r="G348" s="5"/>
    </row>
    <row r="349" spans="2:7">
      <c r="B349" s="5"/>
      <c r="F349" s="5"/>
      <c r="G349" s="5"/>
    </row>
    <row r="350" spans="2:7">
      <c r="B350" s="5"/>
      <c r="F350" s="5"/>
      <c r="G350" s="5"/>
    </row>
    <row r="351" spans="2:7">
      <c r="B351" s="5"/>
      <c r="F351" s="5"/>
      <c r="G351" s="5"/>
    </row>
    <row r="352" spans="2:7">
      <c r="B352" s="5"/>
      <c r="F352" s="5"/>
      <c r="G352" s="5"/>
    </row>
    <row r="353" spans="2:7">
      <c r="B353" s="5"/>
      <c r="F353" s="5"/>
      <c r="G353" s="5"/>
    </row>
    <row r="354" spans="2:7">
      <c r="B354" s="5"/>
      <c r="F354" s="5"/>
      <c r="G354" s="5"/>
    </row>
    <row r="355" spans="2:7">
      <c r="B355" s="5"/>
      <c r="F355" s="5"/>
      <c r="G355" s="5"/>
    </row>
    <row r="356" spans="2:7">
      <c r="B356" s="5"/>
      <c r="F356" s="5"/>
      <c r="G356" s="5"/>
    </row>
    <row r="357" spans="2:7">
      <c r="B357" s="5"/>
      <c r="F357" s="5"/>
      <c r="G357" s="5"/>
    </row>
    <row r="358" spans="2:7">
      <c r="B358" s="5"/>
      <c r="F358" s="5"/>
      <c r="G358" s="5"/>
    </row>
    <row r="359" spans="2:7">
      <c r="B359" s="5"/>
      <c r="F359" s="5"/>
      <c r="G359" s="5"/>
    </row>
    <row r="360" spans="2:7">
      <c r="B360" s="5"/>
      <c r="F360" s="5"/>
      <c r="G360" s="5"/>
    </row>
    <row r="361" spans="2:7">
      <c r="B361" s="5"/>
      <c r="F361" s="5"/>
      <c r="G361" s="5"/>
    </row>
    <row r="362" spans="2:7">
      <c r="B362" s="5"/>
      <c r="F362" s="5"/>
      <c r="G362" s="5"/>
    </row>
    <row r="363" spans="2:7">
      <c r="B363" s="5"/>
      <c r="F363" s="5"/>
      <c r="G363" s="5"/>
    </row>
    <row r="364" spans="2:7">
      <c r="B364" s="5"/>
      <c r="F364" s="5"/>
      <c r="G364" s="5"/>
    </row>
    <row r="365" spans="2:7">
      <c r="B365" s="5"/>
      <c r="F365" s="5"/>
      <c r="G365" s="5"/>
    </row>
    <row r="366" spans="2:7">
      <c r="B366" s="5"/>
      <c r="F366" s="5"/>
      <c r="G366" s="5"/>
    </row>
    <row r="367" spans="2:7">
      <c r="B367" s="5"/>
      <c r="F367" s="5"/>
      <c r="G367" s="5"/>
    </row>
    <row r="368" spans="2:7">
      <c r="B368" s="5"/>
      <c r="F368" s="5"/>
      <c r="G368" s="5"/>
    </row>
    <row r="369" spans="2:7">
      <c r="B369" s="5"/>
      <c r="F369" s="5"/>
      <c r="G369" s="5"/>
    </row>
    <row r="370" spans="2:7">
      <c r="B370" s="5"/>
      <c r="F370" s="5"/>
      <c r="G370" s="5"/>
    </row>
    <row r="371" spans="2:7">
      <c r="B371" s="5"/>
      <c r="F371" s="5"/>
      <c r="G371" s="5"/>
    </row>
    <row r="372" spans="2:7">
      <c r="B372" s="5"/>
      <c r="F372" s="5"/>
      <c r="G372" s="5"/>
    </row>
    <row r="373" spans="2:7">
      <c r="B373" s="5"/>
      <c r="F373" s="5"/>
      <c r="G373" s="5"/>
    </row>
    <row r="374" spans="2:7">
      <c r="B374" s="5"/>
      <c r="F374" s="5"/>
      <c r="G374" s="5"/>
    </row>
    <row r="375" spans="2:7">
      <c r="B375" s="5"/>
      <c r="F375" s="5"/>
      <c r="G375" s="5"/>
    </row>
    <row r="376" spans="2:7">
      <c r="B376" s="5"/>
      <c r="F376" s="5"/>
      <c r="G376" s="5"/>
    </row>
    <row r="377" spans="2:7">
      <c r="B377" s="5"/>
      <c r="F377" s="5"/>
      <c r="G377" s="5"/>
    </row>
    <row r="378" spans="2:7">
      <c r="B378" s="5"/>
      <c r="F378" s="5"/>
      <c r="G378" s="5"/>
    </row>
    <row r="379" spans="2:7">
      <c r="B379" s="5"/>
      <c r="F379" s="5"/>
      <c r="G379" s="5"/>
    </row>
    <row r="380" spans="2:7">
      <c r="B380" s="5"/>
      <c r="F380" s="5"/>
      <c r="G380" s="5"/>
    </row>
    <row r="381" spans="2:7">
      <c r="B381" s="5"/>
      <c r="F381" s="5"/>
      <c r="G381" s="5"/>
    </row>
    <row r="382" spans="2:7">
      <c r="B382" s="5"/>
      <c r="F382" s="5"/>
      <c r="G382" s="5"/>
    </row>
    <row r="383" spans="2:7">
      <c r="B383" s="5"/>
      <c r="F383" s="5"/>
      <c r="G383" s="5"/>
    </row>
    <row r="384" spans="2:7">
      <c r="B384" s="5"/>
      <c r="F384" s="5"/>
      <c r="G384" s="5"/>
    </row>
    <row r="385" spans="2:7">
      <c r="B385" s="5"/>
      <c r="F385" s="5"/>
      <c r="G385" s="5"/>
    </row>
    <row r="386" spans="2:7">
      <c r="B386" s="5"/>
      <c r="F386" s="5"/>
      <c r="G386" s="5"/>
    </row>
    <row r="387" spans="2:7">
      <c r="B387" s="5"/>
      <c r="F387" s="5"/>
      <c r="G387" s="5"/>
    </row>
    <row r="388" spans="2:7">
      <c r="B388" s="5"/>
      <c r="F388" s="5"/>
      <c r="G388" s="5"/>
    </row>
    <row r="389" spans="2:7">
      <c r="B389" s="5"/>
      <c r="F389" s="5"/>
      <c r="G389" s="5"/>
    </row>
    <row r="390" spans="2:7">
      <c r="B390" s="5"/>
      <c r="F390" s="5"/>
      <c r="G390" s="5"/>
    </row>
    <row r="391" spans="2:7">
      <c r="B391" s="5"/>
      <c r="F391" s="5"/>
      <c r="G391" s="5"/>
    </row>
    <row r="392" spans="2:7">
      <c r="B392" s="5"/>
      <c r="F392" s="5"/>
      <c r="G392" s="5"/>
    </row>
    <row r="393" spans="2:7">
      <c r="B393" s="5"/>
      <c r="F393" s="5"/>
      <c r="G393" s="5"/>
    </row>
    <row r="394" spans="2:7">
      <c r="B394" s="5"/>
      <c r="F394" s="5"/>
      <c r="G394" s="5"/>
    </row>
    <row r="395" spans="2:7">
      <c r="B395" s="5"/>
      <c r="F395" s="5"/>
      <c r="G395" s="5"/>
    </row>
    <row r="396" spans="2:7">
      <c r="B396" s="5"/>
      <c r="F396" s="5"/>
      <c r="G396" s="5"/>
    </row>
    <row r="397" spans="2:7">
      <c r="B397" s="5"/>
      <c r="F397" s="5"/>
      <c r="G397" s="5"/>
    </row>
    <row r="398" spans="2:7">
      <c r="B398" s="5"/>
      <c r="F398" s="5"/>
      <c r="G398" s="5"/>
    </row>
    <row r="399" spans="2:7">
      <c r="B399" s="5"/>
      <c r="F399" s="5"/>
      <c r="G399" s="5"/>
    </row>
    <row r="400" spans="2:7">
      <c r="B400" s="5"/>
      <c r="F400" s="5"/>
      <c r="G400" s="5"/>
    </row>
    <row r="401" spans="2:7">
      <c r="B401" s="5"/>
      <c r="F401" s="5"/>
      <c r="G401" s="5"/>
    </row>
    <row r="402" spans="2:7">
      <c r="B402" s="5"/>
      <c r="F402" s="5"/>
      <c r="G402" s="5"/>
    </row>
    <row r="403" spans="2:7">
      <c r="B403" s="5"/>
      <c r="F403" s="5"/>
      <c r="G403" s="5"/>
    </row>
    <row r="404" spans="2:7">
      <c r="B404" s="5"/>
      <c r="F404" s="5"/>
      <c r="G404" s="5"/>
    </row>
    <row r="405" spans="2:7">
      <c r="B405" s="5"/>
      <c r="F405" s="5"/>
      <c r="G405" s="5"/>
    </row>
    <row r="406" spans="2:7">
      <c r="B406" s="5"/>
      <c r="F406" s="5"/>
      <c r="G406" s="5"/>
    </row>
    <row r="407" spans="2:7">
      <c r="B407" s="5"/>
      <c r="F407" s="5"/>
      <c r="G407" s="5"/>
    </row>
    <row r="408" spans="2:7">
      <c r="B408" s="5"/>
      <c r="F408" s="5"/>
      <c r="G408" s="5"/>
    </row>
    <row r="409" spans="2:7">
      <c r="B409" s="5"/>
      <c r="F409" s="5"/>
      <c r="G409" s="5"/>
    </row>
    <row r="410" spans="2:7">
      <c r="B410" s="5"/>
      <c r="F410" s="5"/>
      <c r="G410" s="5"/>
    </row>
    <row r="411" spans="2:7">
      <c r="B411" s="5"/>
      <c r="F411" s="5"/>
      <c r="G411" s="5"/>
    </row>
    <row r="412" spans="2:7">
      <c r="B412" s="5"/>
      <c r="F412" s="5"/>
      <c r="G412" s="5"/>
    </row>
    <row r="413" spans="2:7">
      <c r="B413" s="5"/>
      <c r="F413" s="5"/>
      <c r="G413" s="5"/>
    </row>
    <row r="414" spans="2:7">
      <c r="B414" s="5"/>
      <c r="F414" s="5"/>
      <c r="G414" s="5"/>
    </row>
    <row r="415" spans="2:7">
      <c r="B415" s="5"/>
      <c r="F415" s="5"/>
      <c r="G415" s="5"/>
    </row>
    <row r="416" spans="2:7">
      <c r="B416" s="5"/>
      <c r="F416" s="5"/>
      <c r="G416" s="5"/>
    </row>
    <row r="417" spans="2:7">
      <c r="B417" s="5"/>
      <c r="F417" s="5"/>
      <c r="G417" s="5"/>
    </row>
    <row r="418" spans="2:7">
      <c r="B418" s="5"/>
      <c r="F418" s="5"/>
      <c r="G418" s="5"/>
    </row>
    <row r="419" spans="2:7">
      <c r="B419" s="5"/>
      <c r="F419" s="5"/>
      <c r="G419" s="5"/>
    </row>
    <row r="420" spans="2:7">
      <c r="B420" s="5"/>
      <c r="F420" s="5"/>
      <c r="G420" s="5"/>
    </row>
    <row r="421" spans="2:7">
      <c r="B421" s="5"/>
      <c r="F421" s="5"/>
      <c r="G421" s="5"/>
    </row>
    <row r="422" spans="2:7">
      <c r="B422" s="5"/>
      <c r="F422" s="5"/>
      <c r="G422" s="5"/>
    </row>
    <row r="423" spans="2:7">
      <c r="B423" s="5"/>
      <c r="F423" s="5"/>
      <c r="G423" s="5"/>
    </row>
    <row r="424" spans="2:7">
      <c r="B424" s="5"/>
      <c r="F424" s="5"/>
      <c r="G424" s="5"/>
    </row>
    <row r="425" spans="2:7">
      <c r="B425" s="5"/>
      <c r="F425" s="5"/>
      <c r="G425" s="5"/>
    </row>
    <row r="426" spans="2:7">
      <c r="B426" s="5"/>
      <c r="F426" s="5"/>
      <c r="G426" s="5"/>
    </row>
    <row r="427" spans="2:7">
      <c r="B427" s="5"/>
      <c r="F427" s="5"/>
      <c r="G427" s="5"/>
    </row>
    <row r="428" spans="2:7">
      <c r="B428" s="5"/>
      <c r="F428" s="5"/>
      <c r="G428" s="5"/>
    </row>
    <row r="429" spans="2:7">
      <c r="B429" s="5"/>
      <c r="F429" s="5"/>
      <c r="G429" s="5"/>
    </row>
    <row r="430" spans="2:7">
      <c r="B430" s="5"/>
      <c r="F430" s="5"/>
      <c r="G430" s="5"/>
    </row>
    <row r="431" spans="2:7">
      <c r="B431" s="5"/>
      <c r="F431" s="5"/>
      <c r="G431" s="5"/>
    </row>
    <row r="432" spans="2:7">
      <c r="B432" s="5"/>
      <c r="F432" s="5"/>
      <c r="G432" s="5"/>
    </row>
    <row r="433" spans="2:7">
      <c r="B433" s="5"/>
      <c r="F433" s="5"/>
      <c r="G433" s="5"/>
    </row>
    <row r="434" spans="2:7">
      <c r="B434" s="5"/>
      <c r="F434" s="5"/>
      <c r="G434" s="5"/>
    </row>
    <row r="435" spans="2:7">
      <c r="B435" s="5"/>
      <c r="F435" s="5"/>
      <c r="G435" s="5"/>
    </row>
    <row r="436" spans="2:7">
      <c r="B436" s="5"/>
      <c r="F436" s="5"/>
      <c r="G436" s="5"/>
    </row>
    <row r="437" spans="2:7">
      <c r="B437" s="5"/>
      <c r="F437" s="5"/>
      <c r="G437" s="5"/>
    </row>
    <row r="438" spans="2:7">
      <c r="B438" s="5"/>
      <c r="F438" s="5"/>
      <c r="G438" s="5"/>
    </row>
    <row r="439" spans="2:7">
      <c r="B439" s="5"/>
      <c r="F439" s="5"/>
      <c r="G439" s="5"/>
    </row>
    <row r="440" spans="2:7">
      <c r="B440" s="5"/>
      <c r="F440" s="5"/>
      <c r="G440" s="5"/>
    </row>
    <row r="441" spans="2:7">
      <c r="B441" s="5"/>
      <c r="F441" s="5"/>
      <c r="G441" s="5"/>
    </row>
    <row r="442" spans="2:7">
      <c r="B442" s="5"/>
      <c r="F442" s="5"/>
      <c r="G442" s="5"/>
    </row>
    <row r="443" spans="2:7">
      <c r="B443" s="5"/>
      <c r="F443" s="5"/>
      <c r="G443" s="5"/>
    </row>
    <row r="444" spans="2:7">
      <c r="B444" s="5"/>
      <c r="F444" s="5"/>
      <c r="G444" s="5"/>
    </row>
    <row r="445" spans="2:7">
      <c r="B445" s="5"/>
      <c r="F445" s="5"/>
      <c r="G445" s="5"/>
    </row>
    <row r="446" spans="2:7">
      <c r="B446" s="5"/>
      <c r="F446" s="5"/>
      <c r="G446" s="5"/>
    </row>
    <row r="447" spans="2:7">
      <c r="B447" s="5"/>
      <c r="F447" s="5"/>
      <c r="G447" s="5"/>
    </row>
    <row r="448" spans="2:7">
      <c r="B448" s="5"/>
      <c r="F448" s="5"/>
      <c r="G448" s="5"/>
    </row>
    <row r="449" spans="2:7">
      <c r="B449" s="5"/>
      <c r="F449" s="5"/>
      <c r="G449" s="5"/>
    </row>
    <row r="450" spans="2:7">
      <c r="B450" s="5"/>
      <c r="F450" s="5"/>
      <c r="G450" s="5"/>
    </row>
    <row r="451" spans="2:7">
      <c r="B451" s="5"/>
      <c r="F451" s="5"/>
      <c r="G451" s="5"/>
    </row>
    <row r="452" spans="2:7">
      <c r="B452" s="5"/>
      <c r="F452" s="5"/>
      <c r="G452" s="5"/>
    </row>
    <row r="453" spans="2:7">
      <c r="B453" s="5"/>
      <c r="F453" s="5"/>
      <c r="G453" s="5"/>
    </row>
    <row r="454" spans="2:7">
      <c r="B454" s="5"/>
      <c r="F454" s="5"/>
      <c r="G454" s="5"/>
    </row>
    <row r="455" spans="2:7">
      <c r="B455" s="5"/>
      <c r="F455" s="5"/>
      <c r="G455" s="5"/>
    </row>
    <row r="456" spans="2:7">
      <c r="B456" s="5"/>
      <c r="F456" s="5"/>
      <c r="G456" s="5"/>
    </row>
    <row r="457" spans="2:7">
      <c r="B457" s="5"/>
      <c r="F457" s="5"/>
      <c r="G457" s="5"/>
    </row>
    <row r="458" spans="2:7">
      <c r="B458" s="5"/>
      <c r="F458" s="5"/>
      <c r="G458" s="5"/>
    </row>
    <row r="459" spans="2:7">
      <c r="B459" s="5"/>
      <c r="F459" s="5"/>
      <c r="G459" s="5"/>
    </row>
    <row r="460" spans="2:7">
      <c r="B460" s="5"/>
      <c r="F460" s="5"/>
      <c r="G460" s="5"/>
    </row>
    <row r="461" spans="2:7">
      <c r="B461" s="5"/>
      <c r="F461" s="5"/>
      <c r="G461" s="5"/>
    </row>
    <row r="462" spans="2:7">
      <c r="B462" s="5"/>
      <c r="F462" s="5"/>
      <c r="G462" s="5"/>
    </row>
    <row r="463" spans="2:7">
      <c r="B463" s="5"/>
      <c r="F463" s="5"/>
      <c r="G463" s="5"/>
    </row>
    <row r="464" spans="2:7">
      <c r="B464" s="5"/>
      <c r="F464" s="5"/>
      <c r="G464" s="5"/>
    </row>
    <row r="465" spans="2:7">
      <c r="B465" s="5"/>
      <c r="F465" s="5"/>
      <c r="G465" s="5"/>
    </row>
    <row r="466" spans="2:7">
      <c r="B466" s="5"/>
      <c r="F466" s="5"/>
      <c r="G466" s="5"/>
    </row>
    <row r="467" spans="2:7">
      <c r="B467" s="5"/>
      <c r="F467" s="5"/>
      <c r="G467" s="5"/>
    </row>
    <row r="468" spans="2:7">
      <c r="B468" s="5"/>
      <c r="F468" s="5"/>
      <c r="G468" s="5"/>
    </row>
    <row r="469" spans="2:7">
      <c r="B469" s="5"/>
      <c r="F469" s="5"/>
      <c r="G469" s="5"/>
    </row>
    <row r="470" spans="2:7">
      <c r="B470" s="5"/>
      <c r="F470" s="5"/>
      <c r="G470" s="5"/>
    </row>
    <row r="471" spans="2:7">
      <c r="B471" s="5"/>
      <c r="F471" s="5"/>
      <c r="G471" s="5"/>
    </row>
    <row r="472" spans="2:7">
      <c r="B472" s="5"/>
      <c r="F472" s="5"/>
      <c r="G472" s="5"/>
    </row>
    <row r="473" spans="2:7">
      <c r="B473" s="5"/>
      <c r="F473" s="5"/>
      <c r="G473" s="5"/>
    </row>
    <row r="474" spans="2:7">
      <c r="B474" s="5"/>
      <c r="F474" s="5"/>
      <c r="G474" s="5"/>
    </row>
    <row r="475" spans="2:7">
      <c r="B475" s="5"/>
      <c r="F475" s="5"/>
      <c r="G475" s="5"/>
    </row>
    <row r="476" spans="2:7">
      <c r="B476" s="5"/>
      <c r="F476" s="5"/>
      <c r="G476" s="5"/>
    </row>
    <row r="477" spans="2:7">
      <c r="B477" s="5"/>
      <c r="F477" s="5"/>
      <c r="G477" s="5"/>
    </row>
    <row r="478" spans="2:7">
      <c r="B478" s="5"/>
      <c r="F478" s="5"/>
      <c r="G478" s="5"/>
    </row>
    <row r="479" spans="2:7">
      <c r="B479" s="5"/>
      <c r="F479" s="5"/>
      <c r="G479" s="5"/>
    </row>
    <row r="480" spans="2:7">
      <c r="B480" s="5"/>
      <c r="F480" s="5"/>
      <c r="G480" s="5"/>
    </row>
    <row r="481" spans="2:7">
      <c r="B481" s="5"/>
      <c r="F481" s="5"/>
      <c r="G481" s="5"/>
    </row>
    <row r="482" spans="2:7">
      <c r="B482" s="5"/>
      <c r="F482" s="5"/>
      <c r="G482" s="5"/>
    </row>
    <row r="483" spans="2:7">
      <c r="B483" s="5"/>
      <c r="F483" s="5"/>
      <c r="G483" s="5"/>
    </row>
    <row r="484" spans="2:7">
      <c r="B484" s="5"/>
      <c r="F484" s="5"/>
      <c r="G484" s="5"/>
    </row>
    <row r="485" spans="2:7">
      <c r="B485" s="5"/>
      <c r="F485" s="5"/>
      <c r="G485" s="5"/>
    </row>
    <row r="486" spans="2:7">
      <c r="B486" s="5"/>
      <c r="F486" s="5"/>
      <c r="G486" s="5"/>
    </row>
    <row r="487" spans="2:7">
      <c r="B487" s="5"/>
      <c r="F487" s="5"/>
      <c r="G487" s="5"/>
    </row>
    <row r="488" spans="2:7">
      <c r="B488" s="5"/>
      <c r="F488" s="5"/>
      <c r="G488" s="5"/>
    </row>
    <row r="489" spans="2:7">
      <c r="B489" s="5"/>
      <c r="F489" s="5"/>
      <c r="G489" s="5"/>
    </row>
    <row r="490" spans="2:7">
      <c r="B490" s="5"/>
      <c r="F490" s="5"/>
      <c r="G490" s="5"/>
    </row>
    <row r="491" spans="2:7">
      <c r="B491" s="5"/>
      <c r="F491" s="5"/>
      <c r="G491" s="5"/>
    </row>
    <row r="492" spans="2:7">
      <c r="B492" s="5"/>
      <c r="F492" s="5"/>
      <c r="G492" s="5"/>
    </row>
    <row r="493" spans="2:7">
      <c r="B493" s="5"/>
      <c r="F493" s="5"/>
      <c r="G493" s="5"/>
    </row>
    <row r="494" spans="2:7">
      <c r="B494" s="5"/>
      <c r="F494" s="5"/>
      <c r="G494" s="5"/>
    </row>
    <row r="495" spans="2:7">
      <c r="B495" s="5"/>
      <c r="F495" s="5"/>
      <c r="G495" s="5"/>
    </row>
    <row r="496" spans="2:7">
      <c r="B496" s="5"/>
      <c r="F496" s="5"/>
      <c r="G496" s="5"/>
    </row>
    <row r="497" spans="2:7">
      <c r="B497" s="5"/>
      <c r="F497" s="5"/>
      <c r="G497" s="5"/>
    </row>
    <row r="498" spans="2:7">
      <c r="B498" s="5"/>
      <c r="F498" s="5"/>
      <c r="G498" s="5"/>
    </row>
    <row r="499" spans="2:7">
      <c r="B499" s="5"/>
      <c r="F499" s="5"/>
      <c r="G499" s="5"/>
    </row>
    <row r="500" spans="2:7">
      <c r="B500" s="5"/>
      <c r="F500" s="5"/>
      <c r="G500" s="5"/>
    </row>
    <row r="501" spans="2:7">
      <c r="B501" s="5"/>
      <c r="F501" s="5"/>
      <c r="G501" s="5"/>
    </row>
    <row r="502" spans="2:7">
      <c r="B502" s="5"/>
      <c r="F502" s="5"/>
      <c r="G502" s="5"/>
    </row>
    <row r="503" spans="2:7">
      <c r="B503" s="5"/>
      <c r="F503" s="5"/>
      <c r="G503" s="5"/>
    </row>
    <row r="504" spans="2:7">
      <c r="B504" s="5"/>
      <c r="F504" s="5"/>
      <c r="G504" s="5"/>
    </row>
    <row r="505" spans="2:7">
      <c r="B505" s="5"/>
      <c r="F505" s="5"/>
      <c r="G505" s="5"/>
    </row>
    <row r="506" spans="2:7">
      <c r="B506" s="5"/>
      <c r="F506" s="5"/>
      <c r="G506" s="5"/>
    </row>
    <row r="507" spans="2:7">
      <c r="B507" s="5"/>
      <c r="F507" s="5"/>
      <c r="G507" s="5"/>
    </row>
    <row r="508" spans="2:7">
      <c r="B508" s="5"/>
      <c r="F508" s="5"/>
      <c r="G508" s="5"/>
    </row>
    <row r="509" spans="2:7">
      <c r="B509" s="5"/>
      <c r="F509" s="5"/>
      <c r="G509" s="5"/>
    </row>
    <row r="510" spans="2:7">
      <c r="B510" s="5"/>
      <c r="F510" s="5"/>
      <c r="G510" s="5"/>
    </row>
    <row r="511" spans="2:7">
      <c r="B511" s="5"/>
      <c r="F511" s="5"/>
      <c r="G511" s="5"/>
    </row>
    <row r="512" spans="2:7">
      <c r="B512" s="5"/>
      <c r="F512" s="5"/>
      <c r="G512" s="5"/>
    </row>
    <row r="513" spans="2:7">
      <c r="B513" s="5"/>
      <c r="F513" s="5"/>
      <c r="G513" s="5"/>
    </row>
    <row r="514" spans="2:7">
      <c r="B514" s="5"/>
      <c r="F514" s="5"/>
      <c r="G514" s="5"/>
    </row>
    <row r="515" spans="2:7">
      <c r="B515" s="5"/>
      <c r="F515" s="5"/>
      <c r="G515" s="5"/>
    </row>
    <row r="516" spans="2:7">
      <c r="B516" s="5"/>
      <c r="F516" s="5"/>
      <c r="G516" s="5"/>
    </row>
    <row r="517" spans="2:7">
      <c r="B517" s="5"/>
      <c r="F517" s="5"/>
      <c r="G517" s="5"/>
    </row>
    <row r="518" spans="2:7">
      <c r="B518" s="5"/>
      <c r="F518" s="5"/>
      <c r="G518" s="5"/>
    </row>
    <row r="519" spans="2:7">
      <c r="B519" s="5"/>
      <c r="F519" s="5"/>
      <c r="G519" s="5"/>
    </row>
    <row r="520" spans="2:7">
      <c r="B520" s="5"/>
      <c r="F520" s="5"/>
      <c r="G520" s="5"/>
    </row>
    <row r="521" spans="2:7">
      <c r="B521" s="5"/>
      <c r="F521" s="5"/>
      <c r="G521" s="5"/>
    </row>
    <row r="522" spans="2:7">
      <c r="B522" s="5"/>
      <c r="F522" s="5"/>
      <c r="G522" s="5"/>
    </row>
    <row r="523" spans="2:7">
      <c r="B523" s="5"/>
      <c r="F523" s="5"/>
      <c r="G523" s="5"/>
    </row>
    <row r="524" spans="2:7">
      <c r="B524" s="5"/>
      <c r="F524" s="5"/>
      <c r="G524" s="5"/>
    </row>
    <row r="525" spans="2:7">
      <c r="B525" s="5"/>
      <c r="F525" s="5"/>
      <c r="G525" s="5"/>
    </row>
    <row r="526" spans="2:7">
      <c r="B526" s="5"/>
      <c r="F526" s="5"/>
      <c r="G526" s="5"/>
    </row>
    <row r="527" spans="2:7">
      <c r="B527" s="5"/>
      <c r="F527" s="5"/>
      <c r="G527" s="5"/>
    </row>
    <row r="528" spans="2:7">
      <c r="B528" s="5"/>
      <c r="F528" s="5"/>
      <c r="G528" s="5"/>
    </row>
    <row r="529" spans="2:7">
      <c r="B529" s="5"/>
      <c r="F529" s="5"/>
      <c r="G529" s="5"/>
    </row>
    <row r="530" spans="2:7">
      <c r="B530" s="5"/>
      <c r="F530" s="5"/>
      <c r="G530" s="5"/>
    </row>
    <row r="531" spans="2:7">
      <c r="B531" s="5"/>
      <c r="F531" s="5"/>
      <c r="G531" s="5"/>
    </row>
    <row r="532" spans="2:7">
      <c r="B532" s="5"/>
      <c r="F532" s="5"/>
      <c r="G532" s="5"/>
    </row>
    <row r="533" spans="2:7">
      <c r="B533" s="5"/>
      <c r="F533" s="5"/>
      <c r="G533" s="5"/>
    </row>
    <row r="534" spans="2:7">
      <c r="B534" s="5"/>
      <c r="F534" s="5"/>
      <c r="G534" s="5"/>
    </row>
    <row r="535" spans="2:7">
      <c r="B535" s="5"/>
      <c r="F535" s="5"/>
      <c r="G535" s="5"/>
    </row>
    <row r="536" spans="2:7">
      <c r="B536" s="5"/>
      <c r="F536" s="5"/>
      <c r="G536" s="5"/>
    </row>
    <row r="537" spans="2:7">
      <c r="B537" s="5"/>
      <c r="F537" s="5"/>
      <c r="G537" s="5"/>
    </row>
    <row r="538" spans="2:7">
      <c r="B538" s="5"/>
      <c r="F538" s="5"/>
      <c r="G538" s="5"/>
    </row>
    <row r="539" spans="2:7">
      <c r="B539" s="5"/>
      <c r="F539" s="5"/>
      <c r="G539" s="5"/>
    </row>
    <row r="540" spans="2:7">
      <c r="B540" s="5"/>
      <c r="F540" s="5"/>
      <c r="G540" s="5"/>
    </row>
    <row r="541" spans="2:7">
      <c r="B541" s="5"/>
      <c r="F541" s="5"/>
      <c r="G541" s="5"/>
    </row>
    <row r="542" spans="2:7">
      <c r="B542" s="5"/>
      <c r="F542" s="5"/>
      <c r="G542" s="5"/>
    </row>
    <row r="543" spans="2:7">
      <c r="B543" s="5"/>
      <c r="F543" s="5"/>
      <c r="G543" s="5"/>
    </row>
    <row r="544" spans="2:7">
      <c r="B544" s="5"/>
      <c r="F544" s="5"/>
      <c r="G544" s="5"/>
    </row>
    <row r="545" spans="2:7">
      <c r="B545" s="5"/>
      <c r="F545" s="5"/>
      <c r="G545" s="5"/>
    </row>
    <row r="546" spans="2:7">
      <c r="B546" s="5"/>
      <c r="F546" s="5"/>
      <c r="G546" s="5"/>
    </row>
    <row r="547" spans="2:7">
      <c r="B547" s="5"/>
      <c r="F547" s="5"/>
      <c r="G547" s="5"/>
    </row>
    <row r="548" spans="2:7">
      <c r="B548" s="5"/>
      <c r="F548" s="5"/>
      <c r="G548" s="5"/>
    </row>
    <row r="549" spans="2:7">
      <c r="B549" s="5"/>
      <c r="F549" s="5"/>
      <c r="G549" s="5"/>
    </row>
    <row r="550" spans="2:7">
      <c r="B550" s="5"/>
      <c r="F550" s="5"/>
      <c r="G550" s="5"/>
    </row>
    <row r="551" spans="2:7">
      <c r="B551" s="5"/>
      <c r="F551" s="5"/>
      <c r="G551" s="5"/>
    </row>
    <row r="552" spans="2:7">
      <c r="B552" s="5"/>
      <c r="F552" s="5"/>
      <c r="G552" s="5"/>
    </row>
    <row r="553" spans="2:7">
      <c r="B553" s="5"/>
      <c r="F553" s="5"/>
      <c r="G553" s="5"/>
    </row>
    <row r="554" spans="2:7">
      <c r="B554" s="5"/>
      <c r="F554" s="5"/>
      <c r="G554" s="5"/>
    </row>
    <row r="555" spans="2:7">
      <c r="B555" s="5"/>
      <c r="F555" s="5"/>
      <c r="G555" s="5"/>
    </row>
    <row r="556" spans="2:7">
      <c r="B556" s="5"/>
      <c r="F556" s="5"/>
      <c r="G556" s="5"/>
    </row>
    <row r="557" spans="2:7">
      <c r="B557" s="5"/>
      <c r="F557" s="5"/>
      <c r="G557" s="5"/>
    </row>
    <row r="558" spans="2:7">
      <c r="B558" s="5"/>
      <c r="F558" s="5"/>
      <c r="G558" s="5"/>
    </row>
    <row r="559" spans="2:7">
      <c r="B559" s="5"/>
      <c r="F559" s="5"/>
      <c r="G559" s="5"/>
    </row>
    <row r="560" spans="2:7">
      <c r="B560" s="5"/>
      <c r="F560" s="5"/>
      <c r="G560" s="5"/>
    </row>
    <row r="561" spans="2:7">
      <c r="B561" s="5"/>
      <c r="F561" s="5"/>
      <c r="G561" s="5"/>
    </row>
    <row r="562" spans="2:7">
      <c r="B562" s="5"/>
      <c r="F562" s="5"/>
      <c r="G562" s="5"/>
    </row>
    <row r="563" spans="2:7">
      <c r="B563" s="5"/>
      <c r="F563" s="5"/>
      <c r="G563" s="5"/>
    </row>
    <row r="564" spans="2:7">
      <c r="B564" s="5"/>
      <c r="F564" s="5"/>
      <c r="G564" s="5"/>
    </row>
    <row r="565" spans="2:7">
      <c r="B565" s="5"/>
      <c r="F565" s="5"/>
      <c r="G565" s="5"/>
    </row>
    <row r="566" spans="2:7">
      <c r="B566" s="5"/>
      <c r="F566" s="5"/>
      <c r="G566" s="5"/>
    </row>
    <row r="567" spans="2:7">
      <c r="B567" s="5"/>
      <c r="F567" s="5"/>
      <c r="G567" s="5"/>
    </row>
    <row r="568" spans="2:7">
      <c r="B568" s="5"/>
      <c r="F568" s="5"/>
      <c r="G568" s="5"/>
    </row>
    <row r="569" spans="2:7">
      <c r="B569" s="5"/>
      <c r="F569" s="5"/>
      <c r="G569" s="5"/>
    </row>
    <row r="570" spans="2:7">
      <c r="B570" s="5"/>
      <c r="F570" s="5"/>
      <c r="G570" s="5"/>
    </row>
    <row r="571" spans="2:7">
      <c r="B571" s="5"/>
      <c r="F571" s="5"/>
      <c r="G571" s="5"/>
    </row>
    <row r="572" spans="2:7">
      <c r="B572" s="5"/>
      <c r="F572" s="5"/>
      <c r="G572" s="5"/>
    </row>
    <row r="573" spans="2:7">
      <c r="B573" s="5"/>
      <c r="F573" s="5"/>
      <c r="G573" s="5"/>
    </row>
    <row r="574" spans="2:7">
      <c r="B574" s="5"/>
      <c r="F574" s="5"/>
      <c r="G574" s="5"/>
    </row>
    <row r="575" spans="2:7">
      <c r="B575" s="5"/>
      <c r="F575" s="5"/>
      <c r="G575" s="5"/>
    </row>
    <row r="576" spans="2:7">
      <c r="B576" s="5"/>
      <c r="F576" s="5"/>
      <c r="G576" s="5"/>
    </row>
    <row r="577" spans="2:7">
      <c r="B577" s="5"/>
      <c r="F577" s="5"/>
      <c r="G577" s="5"/>
    </row>
    <row r="578" spans="2:7">
      <c r="B578" s="5"/>
      <c r="F578" s="5"/>
      <c r="G578" s="5"/>
    </row>
    <row r="579" spans="2:7">
      <c r="B579" s="5"/>
      <c r="F579" s="5"/>
      <c r="G579" s="5"/>
    </row>
    <row r="580" spans="2:7">
      <c r="B580" s="5"/>
      <c r="F580" s="5"/>
      <c r="G580" s="5"/>
    </row>
    <row r="581" spans="2:7">
      <c r="B581" s="5"/>
      <c r="F581" s="5"/>
      <c r="G581" s="5"/>
    </row>
    <row r="582" spans="2:7">
      <c r="B582" s="5"/>
      <c r="F582" s="5"/>
      <c r="G582" s="5"/>
    </row>
    <row r="583" spans="2:7">
      <c r="B583" s="5"/>
      <c r="F583" s="5"/>
      <c r="G583" s="5"/>
    </row>
    <row r="584" spans="2:7">
      <c r="B584" s="5"/>
      <c r="F584" s="5"/>
      <c r="G584" s="5"/>
    </row>
    <row r="585" spans="2:7">
      <c r="B585" s="5"/>
      <c r="F585" s="5"/>
      <c r="G585" s="5"/>
    </row>
    <row r="586" spans="2:7">
      <c r="B586" s="5"/>
      <c r="F586" s="5"/>
      <c r="G586" s="5"/>
    </row>
    <row r="587" spans="2:7">
      <c r="B587" s="5"/>
      <c r="F587" s="5"/>
      <c r="G587" s="5"/>
    </row>
    <row r="588" spans="2:7">
      <c r="B588" s="5"/>
      <c r="F588" s="5"/>
      <c r="G588" s="5"/>
    </row>
    <row r="589" spans="2:7">
      <c r="B589" s="5"/>
      <c r="F589" s="5"/>
      <c r="G589" s="5"/>
    </row>
    <row r="590" spans="2:7">
      <c r="B590" s="5"/>
      <c r="F590" s="5"/>
      <c r="G590" s="5"/>
    </row>
    <row r="591" spans="2:7">
      <c r="B591" s="5"/>
      <c r="F591" s="5"/>
      <c r="G591" s="5"/>
    </row>
    <row r="592" spans="2:7">
      <c r="B592" s="5"/>
      <c r="F592" s="5"/>
      <c r="G592" s="5"/>
    </row>
    <row r="593" spans="2:7">
      <c r="B593" s="5"/>
      <c r="F593" s="5"/>
      <c r="G593" s="5"/>
    </row>
    <row r="594" spans="2:7">
      <c r="B594" s="5"/>
      <c r="F594" s="5"/>
      <c r="G594" s="5"/>
    </row>
    <row r="595" spans="2:7">
      <c r="B595" s="5"/>
      <c r="F595" s="5"/>
      <c r="G595" s="5"/>
    </row>
    <row r="596" spans="2:7">
      <c r="B596" s="5"/>
      <c r="F596" s="5"/>
      <c r="G596" s="5"/>
    </row>
    <row r="597" spans="2:7">
      <c r="B597" s="5"/>
      <c r="F597" s="5"/>
      <c r="G597" s="5"/>
    </row>
    <row r="598" spans="2:7">
      <c r="B598" s="5"/>
      <c r="F598" s="5"/>
      <c r="G598" s="5"/>
    </row>
    <row r="599" spans="2:7">
      <c r="B599" s="5"/>
      <c r="F599" s="5"/>
      <c r="G599" s="5"/>
    </row>
    <row r="600" spans="2:7">
      <c r="B600" s="5"/>
      <c r="F600" s="5"/>
      <c r="G600" s="5"/>
    </row>
    <row r="601" spans="2:7">
      <c r="B601" s="5"/>
      <c r="F601" s="5"/>
      <c r="G601" s="5"/>
    </row>
    <row r="602" spans="2:7">
      <c r="B602" s="5"/>
      <c r="F602" s="5"/>
      <c r="G602" s="5"/>
    </row>
    <row r="603" spans="2:7">
      <c r="B603" s="5"/>
      <c r="F603" s="5"/>
      <c r="G603" s="5"/>
    </row>
    <row r="604" spans="2:7">
      <c r="B604" s="5"/>
      <c r="F604" s="5"/>
      <c r="G604" s="5"/>
    </row>
    <row r="605" spans="2:7">
      <c r="B605" s="5"/>
      <c r="F605" s="5"/>
      <c r="G605" s="5"/>
    </row>
    <row r="606" spans="2:7">
      <c r="B606" s="5"/>
      <c r="F606" s="5"/>
      <c r="G606" s="5"/>
    </row>
    <row r="607" spans="2:7">
      <c r="B607" s="5"/>
      <c r="F607" s="5"/>
      <c r="G607" s="5"/>
    </row>
    <row r="608" spans="2:7">
      <c r="B608" s="5"/>
      <c r="F608" s="5"/>
      <c r="G608" s="5"/>
    </row>
    <row r="609" spans="2:7">
      <c r="B609" s="5"/>
      <c r="F609" s="5"/>
      <c r="G609" s="5"/>
    </row>
    <row r="610" spans="2:7">
      <c r="B610" s="5"/>
      <c r="F610" s="5"/>
      <c r="G610" s="5"/>
    </row>
    <row r="611" spans="2:7">
      <c r="B611" s="5"/>
      <c r="F611" s="5"/>
      <c r="G611" s="5"/>
    </row>
    <row r="612" spans="2:7">
      <c r="B612" s="5"/>
      <c r="F612" s="5"/>
      <c r="G612" s="5"/>
    </row>
    <row r="613" spans="2:7">
      <c r="B613" s="5"/>
      <c r="F613" s="5"/>
      <c r="G613" s="5"/>
    </row>
    <row r="614" spans="2:7">
      <c r="B614" s="5"/>
      <c r="F614" s="5"/>
      <c r="G614" s="5"/>
    </row>
    <row r="615" spans="2:7">
      <c r="B615" s="5"/>
      <c r="F615" s="5"/>
      <c r="G615" s="5"/>
    </row>
    <row r="616" spans="2:7">
      <c r="B616" s="5"/>
      <c r="F616" s="5"/>
      <c r="G616" s="5"/>
    </row>
    <row r="617" spans="2:7">
      <c r="B617" s="5"/>
      <c r="F617" s="5"/>
      <c r="G617" s="5"/>
    </row>
    <row r="618" spans="2:7">
      <c r="B618" s="5"/>
      <c r="F618" s="5"/>
      <c r="G618" s="5"/>
    </row>
    <row r="619" spans="2:7">
      <c r="B619" s="5"/>
      <c r="F619" s="5"/>
      <c r="G619" s="5"/>
    </row>
    <row r="620" spans="2:7">
      <c r="B620" s="5"/>
      <c r="F620" s="5"/>
      <c r="G620" s="5"/>
    </row>
    <row r="621" spans="2:7">
      <c r="B621" s="5"/>
      <c r="F621" s="5"/>
      <c r="G621" s="5"/>
    </row>
    <row r="622" spans="2:7">
      <c r="B622" s="5"/>
      <c r="F622" s="5"/>
      <c r="G622" s="5"/>
    </row>
    <row r="623" spans="2:7">
      <c r="B623" s="5"/>
      <c r="F623" s="5"/>
      <c r="G623" s="5"/>
    </row>
    <row r="624" spans="2:7">
      <c r="B624" s="5"/>
      <c r="F624" s="5"/>
      <c r="G624" s="5"/>
    </row>
    <row r="625" spans="2:7">
      <c r="B625" s="5"/>
      <c r="F625" s="5"/>
      <c r="G625" s="5"/>
    </row>
    <row r="626" spans="2:7">
      <c r="B626" s="5"/>
      <c r="F626" s="5"/>
      <c r="G626" s="5"/>
    </row>
    <row r="627" spans="2:7">
      <c r="B627" s="5"/>
      <c r="F627" s="5"/>
      <c r="G627" s="5"/>
    </row>
    <row r="628" spans="2:7">
      <c r="B628" s="5"/>
      <c r="F628" s="5"/>
      <c r="G628" s="5"/>
    </row>
    <row r="629" spans="2:7">
      <c r="B629" s="5"/>
      <c r="F629" s="5"/>
      <c r="G629" s="5"/>
    </row>
    <row r="630" spans="2:7">
      <c r="B630" s="5"/>
      <c r="F630" s="5"/>
      <c r="G630" s="5"/>
    </row>
    <row r="631" spans="2:7">
      <c r="B631" s="5"/>
      <c r="F631" s="5"/>
      <c r="G631" s="5"/>
    </row>
    <row r="632" spans="2:7">
      <c r="B632" s="5"/>
      <c r="F632" s="5"/>
      <c r="G632" s="5"/>
    </row>
    <row r="633" spans="2:7">
      <c r="B633" s="5"/>
      <c r="F633" s="5"/>
      <c r="G633" s="5"/>
    </row>
    <row r="634" spans="2:7">
      <c r="B634" s="5"/>
      <c r="F634" s="5"/>
      <c r="G634" s="5"/>
    </row>
    <row r="635" spans="2:7">
      <c r="B635" s="5"/>
      <c r="F635" s="5"/>
      <c r="G635" s="5"/>
    </row>
    <row r="636" spans="2:7">
      <c r="B636" s="5"/>
      <c r="F636" s="5"/>
      <c r="G636" s="5"/>
    </row>
    <row r="637" spans="2:7">
      <c r="B637" s="5"/>
      <c r="F637" s="5"/>
      <c r="G637" s="5"/>
    </row>
    <row r="638" spans="2:7">
      <c r="B638" s="5"/>
      <c r="F638" s="5"/>
      <c r="G638" s="5"/>
    </row>
    <row r="639" spans="2:7">
      <c r="B639" s="5"/>
      <c r="F639" s="5"/>
      <c r="G639" s="5"/>
    </row>
    <row r="640" spans="2:7">
      <c r="B640" s="5"/>
      <c r="F640" s="5"/>
      <c r="G640" s="5"/>
    </row>
    <row r="641" spans="2:7">
      <c r="B641" s="5"/>
      <c r="F641" s="5"/>
      <c r="G641" s="5"/>
    </row>
    <row r="642" spans="2:7">
      <c r="B642" s="5"/>
      <c r="F642" s="5"/>
      <c r="G642" s="5"/>
    </row>
    <row r="643" spans="2:7">
      <c r="B643" s="5"/>
      <c r="F643" s="5"/>
      <c r="G643" s="5"/>
    </row>
    <row r="644" spans="2:7">
      <c r="B644" s="5"/>
      <c r="F644" s="5"/>
      <c r="G644" s="5"/>
    </row>
    <row r="645" spans="2:7">
      <c r="B645" s="5"/>
      <c r="F645" s="5"/>
      <c r="G645" s="5"/>
    </row>
    <row r="646" spans="2:7">
      <c r="B646" s="5"/>
      <c r="F646" s="5"/>
      <c r="G646" s="5"/>
    </row>
    <row r="647" spans="2:7">
      <c r="B647" s="5"/>
      <c r="F647" s="5"/>
      <c r="G647" s="5"/>
    </row>
    <row r="648" spans="2:7">
      <c r="B648" s="5"/>
      <c r="F648" s="5"/>
      <c r="G648" s="5"/>
    </row>
    <row r="649" spans="2:7">
      <c r="B649" s="5"/>
      <c r="F649" s="5"/>
      <c r="G649" s="5"/>
    </row>
    <row r="650" spans="2:7">
      <c r="B650" s="5"/>
      <c r="F650" s="5"/>
      <c r="G650" s="5"/>
    </row>
    <row r="651" spans="2:7">
      <c r="B651" s="5"/>
      <c r="F651" s="5"/>
      <c r="G651" s="5"/>
    </row>
    <row r="652" spans="2:7">
      <c r="B652" s="5"/>
      <c r="F652" s="5"/>
      <c r="G652" s="5"/>
    </row>
    <row r="653" spans="2:7">
      <c r="B653" s="5"/>
      <c r="F653" s="5"/>
      <c r="G653" s="5"/>
    </row>
    <row r="654" spans="2:7">
      <c r="B654" s="5"/>
      <c r="F654" s="5"/>
      <c r="G654" s="5"/>
    </row>
    <row r="655" spans="2:7">
      <c r="B655" s="5"/>
      <c r="F655" s="5"/>
      <c r="G655" s="5"/>
    </row>
    <row r="656" spans="2:7">
      <c r="B656" s="5"/>
      <c r="F656" s="5"/>
      <c r="G656" s="5"/>
    </row>
    <row r="657" spans="2:7">
      <c r="B657" s="5"/>
      <c r="F657" s="5"/>
      <c r="G657" s="5"/>
    </row>
    <row r="658" spans="2:7">
      <c r="B658" s="5"/>
      <c r="F658" s="5"/>
      <c r="G658" s="5"/>
    </row>
    <row r="659" spans="2:7">
      <c r="B659" s="5"/>
      <c r="F659" s="5"/>
      <c r="G659" s="5"/>
    </row>
    <row r="660" spans="2:7">
      <c r="B660" s="5"/>
      <c r="F660" s="5"/>
      <c r="G660" s="5"/>
    </row>
    <row r="661" spans="2:7">
      <c r="B661" s="5"/>
      <c r="F661" s="5"/>
      <c r="G661" s="5"/>
    </row>
    <row r="662" spans="2:7">
      <c r="B662" s="5"/>
      <c r="F662" s="5"/>
      <c r="G662" s="5"/>
    </row>
    <row r="663" spans="2:7">
      <c r="B663" s="5"/>
      <c r="F663" s="5"/>
      <c r="G663" s="5"/>
    </row>
    <row r="664" spans="2:7">
      <c r="B664" s="5"/>
      <c r="F664" s="5"/>
      <c r="G664" s="5"/>
    </row>
    <row r="665" spans="2:7">
      <c r="B665" s="5"/>
      <c r="F665" s="5"/>
      <c r="G665" s="5"/>
    </row>
    <row r="666" spans="2:7">
      <c r="B666" s="5"/>
      <c r="F666" s="5"/>
      <c r="G666" s="5"/>
    </row>
    <row r="667" spans="2:7">
      <c r="B667" s="5"/>
      <c r="F667" s="5"/>
      <c r="G667" s="5"/>
    </row>
    <row r="668" spans="2:7">
      <c r="B668" s="5"/>
      <c r="F668" s="5"/>
      <c r="G668" s="5"/>
    </row>
    <row r="669" spans="2:7">
      <c r="B669" s="5"/>
      <c r="F669" s="5"/>
      <c r="G669" s="5"/>
    </row>
    <row r="670" spans="2:7">
      <c r="B670" s="5"/>
      <c r="F670" s="5"/>
      <c r="G670" s="5"/>
    </row>
    <row r="671" spans="2:7">
      <c r="B671" s="5"/>
      <c r="F671" s="5"/>
      <c r="G671" s="5"/>
    </row>
    <row r="672" spans="2:7">
      <c r="B672" s="5"/>
      <c r="F672" s="5"/>
      <c r="G672" s="5"/>
    </row>
    <row r="673" spans="2:7">
      <c r="B673" s="5"/>
      <c r="F673" s="5"/>
      <c r="G673" s="5"/>
    </row>
    <row r="674" spans="2:7">
      <c r="B674" s="5"/>
      <c r="F674" s="5"/>
      <c r="G674" s="5"/>
    </row>
    <row r="675" spans="2:7">
      <c r="B675" s="5"/>
      <c r="F675" s="5"/>
      <c r="G675" s="5"/>
    </row>
    <row r="676" spans="2:7">
      <c r="B676" s="5"/>
      <c r="F676" s="5"/>
      <c r="G676" s="5"/>
    </row>
    <row r="677" spans="2:7">
      <c r="B677" s="5"/>
      <c r="F677" s="5"/>
      <c r="G677" s="5"/>
    </row>
    <row r="678" spans="2:7">
      <c r="B678" s="5"/>
      <c r="F678" s="5"/>
      <c r="G678" s="5"/>
    </row>
    <row r="679" spans="2:7">
      <c r="B679" s="5"/>
      <c r="F679" s="5"/>
      <c r="G679" s="5"/>
    </row>
    <row r="680" spans="2:7">
      <c r="B680" s="5"/>
      <c r="F680" s="5"/>
      <c r="G680" s="5"/>
    </row>
    <row r="681" spans="2:7">
      <c r="B681" s="5"/>
      <c r="F681" s="5"/>
      <c r="G681" s="5"/>
    </row>
    <row r="682" spans="2:7">
      <c r="B682" s="5"/>
      <c r="F682" s="5"/>
      <c r="G682" s="5"/>
    </row>
    <row r="683" spans="2:7">
      <c r="B683" s="5"/>
      <c r="F683" s="5"/>
      <c r="G683" s="5"/>
    </row>
    <row r="684" spans="2:7">
      <c r="B684" s="5"/>
      <c r="F684" s="5"/>
      <c r="G684" s="5"/>
    </row>
    <row r="685" spans="2:7">
      <c r="B685" s="5"/>
      <c r="F685" s="5"/>
      <c r="G685" s="5"/>
    </row>
    <row r="686" spans="2:7">
      <c r="B686" s="5"/>
      <c r="F686" s="5"/>
      <c r="G686" s="5"/>
    </row>
    <row r="687" spans="2:7">
      <c r="B687" s="5"/>
      <c r="F687" s="5"/>
      <c r="G687" s="5"/>
    </row>
    <row r="688" spans="2:7">
      <c r="B688" s="5"/>
      <c r="F688" s="5"/>
      <c r="G688" s="5"/>
    </row>
    <row r="689" spans="2:7">
      <c r="B689" s="5"/>
      <c r="F689" s="5"/>
      <c r="G689" s="5"/>
    </row>
    <row r="690" spans="2:7">
      <c r="B690" s="5"/>
      <c r="F690" s="5"/>
      <c r="G690" s="5"/>
    </row>
    <row r="691" spans="2:7">
      <c r="B691" s="5"/>
      <c r="F691" s="5"/>
      <c r="G691" s="5"/>
    </row>
    <row r="692" spans="2:7">
      <c r="B692" s="5"/>
      <c r="F692" s="5"/>
      <c r="G692" s="5"/>
    </row>
    <row r="693" spans="2:7">
      <c r="B693" s="5"/>
      <c r="F693" s="5"/>
      <c r="G693" s="5"/>
    </row>
    <row r="694" spans="2:7">
      <c r="B694" s="5"/>
      <c r="F694" s="5"/>
      <c r="G694" s="5"/>
    </row>
    <row r="695" spans="2:7">
      <c r="B695" s="5"/>
      <c r="F695" s="5"/>
      <c r="G695" s="5"/>
    </row>
    <row r="696" spans="2:7">
      <c r="B696" s="5"/>
      <c r="F696" s="5"/>
      <c r="G696" s="5"/>
    </row>
    <row r="697" spans="2:7">
      <c r="B697" s="5"/>
      <c r="F697" s="5"/>
      <c r="G697" s="5"/>
    </row>
    <row r="698" spans="2:7">
      <c r="B698" s="5"/>
      <c r="F698" s="5"/>
      <c r="G698" s="5"/>
    </row>
    <row r="699" spans="2:7">
      <c r="B699" s="5"/>
      <c r="F699" s="5"/>
      <c r="G699" s="5"/>
    </row>
    <row r="700" spans="2:7">
      <c r="B700" s="5"/>
      <c r="F700" s="5"/>
      <c r="G700" s="5"/>
    </row>
    <row r="701" spans="2:7">
      <c r="B701" s="5"/>
      <c r="F701" s="5"/>
      <c r="G701" s="5"/>
    </row>
    <row r="702" spans="2:7">
      <c r="B702" s="5"/>
      <c r="F702" s="5"/>
      <c r="G702" s="5"/>
    </row>
    <row r="703" spans="2:7">
      <c r="B703" s="5"/>
      <c r="F703" s="5"/>
      <c r="G703" s="5"/>
    </row>
    <row r="704" spans="2:7">
      <c r="B704" s="5"/>
      <c r="F704" s="5"/>
      <c r="G704" s="5"/>
    </row>
    <row r="705" spans="2:7">
      <c r="B705" s="5"/>
      <c r="F705" s="5"/>
      <c r="G705" s="5"/>
    </row>
    <row r="706" spans="2:7">
      <c r="B706" s="5"/>
      <c r="F706" s="5"/>
      <c r="G706" s="5"/>
    </row>
    <row r="707" spans="2:7">
      <c r="B707" s="5"/>
      <c r="F707" s="5"/>
      <c r="G707" s="5"/>
    </row>
    <row r="708" spans="2:7">
      <c r="B708" s="5"/>
      <c r="F708" s="5"/>
      <c r="G708" s="5"/>
    </row>
    <row r="709" spans="2:7">
      <c r="B709" s="5"/>
      <c r="F709" s="5"/>
      <c r="G709" s="5"/>
    </row>
    <row r="710" spans="2:7">
      <c r="B710" s="5"/>
      <c r="F710" s="5"/>
      <c r="G710" s="5"/>
    </row>
    <row r="711" spans="2:7">
      <c r="B711" s="5"/>
      <c r="F711" s="5"/>
      <c r="G711" s="5"/>
    </row>
    <row r="712" spans="2:7">
      <c r="B712" s="5"/>
      <c r="F712" s="5"/>
      <c r="G712" s="5"/>
    </row>
    <row r="713" spans="2:7">
      <c r="B713" s="5"/>
      <c r="F713" s="5"/>
      <c r="G713" s="5"/>
    </row>
    <row r="714" spans="2:7">
      <c r="B714" s="5"/>
      <c r="F714" s="5"/>
      <c r="G714" s="5"/>
    </row>
    <row r="715" spans="2:7">
      <c r="B715" s="5"/>
      <c r="F715" s="5"/>
      <c r="G715" s="5"/>
    </row>
    <row r="716" spans="2:7">
      <c r="B716" s="5"/>
      <c r="F716" s="5"/>
      <c r="G716" s="5"/>
    </row>
    <row r="717" spans="2:7">
      <c r="B717" s="5"/>
      <c r="F717" s="5"/>
      <c r="G717" s="5"/>
    </row>
    <row r="718" spans="2:7">
      <c r="B718" s="5"/>
      <c r="F718" s="5"/>
      <c r="G718" s="5"/>
    </row>
    <row r="719" spans="2:7">
      <c r="B719" s="5"/>
      <c r="F719" s="5"/>
      <c r="G719" s="5"/>
    </row>
    <row r="720" spans="2:7">
      <c r="B720" s="5"/>
      <c r="F720" s="5"/>
      <c r="G720" s="5"/>
    </row>
    <row r="721" spans="2:7">
      <c r="B721" s="5"/>
      <c r="F721" s="5"/>
      <c r="G721" s="5"/>
    </row>
    <row r="722" spans="2:7">
      <c r="B722" s="5"/>
      <c r="F722" s="5"/>
      <c r="G722" s="5"/>
    </row>
    <row r="723" spans="2:7">
      <c r="B723" s="5"/>
      <c r="F723" s="5"/>
      <c r="G723" s="5"/>
    </row>
    <row r="724" spans="2:7">
      <c r="B724" s="5"/>
      <c r="F724" s="5"/>
      <c r="G724" s="5"/>
    </row>
    <row r="725" spans="2:7">
      <c r="B725" s="5"/>
      <c r="F725" s="5"/>
      <c r="G725" s="5"/>
    </row>
    <row r="726" spans="2:7">
      <c r="B726" s="5"/>
      <c r="F726" s="5"/>
      <c r="G726" s="5"/>
    </row>
    <row r="727" spans="2:7">
      <c r="B727" s="5"/>
      <c r="F727" s="5"/>
      <c r="G727" s="5"/>
    </row>
    <row r="728" spans="2:7">
      <c r="B728" s="5"/>
      <c r="F728" s="5"/>
      <c r="G728" s="5"/>
    </row>
    <row r="729" spans="2:7">
      <c r="B729" s="5"/>
      <c r="F729" s="5"/>
      <c r="G729" s="5"/>
    </row>
    <row r="730" spans="2:7">
      <c r="B730" s="5"/>
      <c r="F730" s="5"/>
      <c r="G730" s="5"/>
    </row>
    <row r="731" spans="2:7">
      <c r="B731" s="5"/>
      <c r="F731" s="5"/>
      <c r="G731" s="5"/>
    </row>
    <row r="732" spans="2:7">
      <c r="B732" s="5"/>
      <c r="F732" s="5"/>
      <c r="G732" s="5"/>
    </row>
    <row r="733" spans="2:7">
      <c r="B733" s="5"/>
      <c r="F733" s="5"/>
      <c r="G733" s="5"/>
    </row>
    <row r="734" spans="2:7">
      <c r="B734" s="5"/>
      <c r="F734" s="5"/>
      <c r="G734" s="5"/>
    </row>
    <row r="735" spans="2:7">
      <c r="B735" s="5"/>
      <c r="F735" s="5"/>
      <c r="G735" s="5"/>
    </row>
    <row r="736" spans="2:7">
      <c r="B736" s="5"/>
      <c r="F736" s="5"/>
      <c r="G736" s="5"/>
    </row>
    <row r="737" spans="2:7">
      <c r="B737" s="5"/>
      <c r="F737" s="5"/>
      <c r="G737" s="5"/>
    </row>
    <row r="738" spans="2:7">
      <c r="B738" s="5"/>
      <c r="F738" s="5"/>
      <c r="G738" s="5"/>
    </row>
    <row r="739" spans="2:7">
      <c r="B739" s="5"/>
      <c r="F739" s="5"/>
      <c r="G739" s="5"/>
    </row>
    <row r="740" spans="2:7">
      <c r="B740" s="5"/>
      <c r="F740" s="5"/>
      <c r="G740" s="5"/>
    </row>
    <row r="741" spans="2:7">
      <c r="B741" s="5"/>
      <c r="F741" s="5"/>
      <c r="G741" s="5"/>
    </row>
    <row r="742" spans="2:7">
      <c r="B742" s="5"/>
      <c r="F742" s="5"/>
      <c r="G742" s="5"/>
    </row>
    <row r="743" spans="2:7">
      <c r="B743" s="5"/>
      <c r="F743" s="5"/>
      <c r="G743" s="5"/>
    </row>
    <row r="744" spans="2:7">
      <c r="B744" s="5"/>
      <c r="F744" s="5"/>
      <c r="G744" s="5"/>
    </row>
    <row r="745" spans="2:7">
      <c r="B745" s="5"/>
      <c r="F745" s="5"/>
      <c r="G745" s="5"/>
    </row>
    <row r="746" spans="2:7">
      <c r="B746" s="5"/>
      <c r="F746" s="5"/>
      <c r="G746" s="5"/>
    </row>
    <row r="747" spans="2:7">
      <c r="B747" s="5"/>
      <c r="F747" s="5"/>
      <c r="G747" s="5"/>
    </row>
    <row r="748" spans="2:7">
      <c r="B748" s="5"/>
      <c r="F748" s="5"/>
      <c r="G748" s="5"/>
    </row>
    <row r="749" spans="2:7">
      <c r="B749" s="5"/>
      <c r="F749" s="5"/>
      <c r="G749" s="5"/>
    </row>
    <row r="750" spans="2:7">
      <c r="B750" s="5"/>
      <c r="F750" s="5"/>
      <c r="G750" s="5"/>
    </row>
    <row r="751" spans="2:7">
      <c r="B751" s="5"/>
      <c r="F751" s="5"/>
      <c r="G751" s="5"/>
    </row>
    <row r="752" spans="2:7">
      <c r="B752" s="5"/>
      <c r="F752" s="5"/>
      <c r="G752" s="5"/>
    </row>
    <row r="753" spans="2:7">
      <c r="B753" s="5"/>
      <c r="F753" s="5"/>
      <c r="G753" s="5"/>
    </row>
    <row r="754" spans="2:7">
      <c r="B754" s="5"/>
      <c r="F754" s="5"/>
      <c r="G754" s="5"/>
    </row>
    <row r="755" spans="2:7">
      <c r="B755" s="5"/>
      <c r="F755" s="5"/>
      <c r="G755" s="5"/>
    </row>
    <row r="756" spans="2:7">
      <c r="B756" s="5"/>
      <c r="F756" s="5"/>
      <c r="G756" s="5"/>
    </row>
    <row r="757" spans="2:7">
      <c r="B757" s="5"/>
      <c r="F757" s="5"/>
      <c r="G757" s="5"/>
    </row>
    <row r="758" spans="2:7">
      <c r="B758" s="5"/>
      <c r="F758" s="5"/>
      <c r="G758" s="5"/>
    </row>
    <row r="759" spans="2:7">
      <c r="B759" s="5"/>
      <c r="F759" s="5"/>
      <c r="G759" s="5"/>
    </row>
    <row r="760" spans="2:7">
      <c r="B760" s="5"/>
      <c r="F760" s="5"/>
      <c r="G760" s="5"/>
    </row>
    <row r="761" spans="2:7">
      <c r="B761" s="5"/>
      <c r="F761" s="5"/>
      <c r="G761" s="5"/>
    </row>
    <row r="762" spans="2:7">
      <c r="B762" s="5"/>
      <c r="F762" s="5"/>
      <c r="G762" s="5"/>
    </row>
    <row r="763" spans="2:7">
      <c r="B763" s="5"/>
      <c r="F763" s="5"/>
      <c r="G763" s="5"/>
    </row>
    <row r="764" spans="2:7">
      <c r="B764" s="5"/>
      <c r="F764" s="5"/>
      <c r="G764" s="5"/>
    </row>
    <row r="765" spans="2:7">
      <c r="B765" s="5"/>
      <c r="F765" s="5"/>
      <c r="G765" s="5"/>
    </row>
    <row r="766" spans="2:7">
      <c r="B766" s="5"/>
      <c r="F766" s="5"/>
      <c r="G766" s="5"/>
    </row>
    <row r="767" spans="2:7">
      <c r="B767" s="5"/>
      <c r="F767" s="5"/>
      <c r="G767" s="5"/>
    </row>
    <row r="768" spans="2:7">
      <c r="B768" s="5"/>
      <c r="F768" s="5"/>
      <c r="G768" s="5"/>
    </row>
    <row r="769" spans="2:7">
      <c r="B769" s="5"/>
      <c r="F769" s="5"/>
      <c r="G769" s="5"/>
    </row>
    <row r="770" spans="2:7">
      <c r="B770" s="5"/>
      <c r="F770" s="5"/>
      <c r="G770" s="5"/>
    </row>
    <row r="771" spans="2:7">
      <c r="B771" s="5"/>
      <c r="F771" s="5"/>
      <c r="G771" s="5"/>
    </row>
    <row r="772" spans="2:7">
      <c r="B772" s="5"/>
      <c r="F772" s="5"/>
      <c r="G772" s="5"/>
    </row>
    <row r="773" spans="2:7">
      <c r="B773" s="5"/>
      <c r="F773" s="5"/>
      <c r="G773" s="5"/>
    </row>
    <row r="774" spans="2:7">
      <c r="B774" s="5"/>
      <c r="F774" s="5"/>
      <c r="G774" s="5"/>
    </row>
    <row r="775" spans="2:7">
      <c r="B775" s="5"/>
      <c r="F775" s="5"/>
      <c r="G775" s="5"/>
    </row>
    <row r="776" spans="2:7">
      <c r="B776" s="5"/>
      <c r="F776" s="5"/>
      <c r="G776" s="5"/>
    </row>
    <row r="777" spans="2:7">
      <c r="B777" s="5"/>
      <c r="F777" s="5"/>
      <c r="G777" s="5"/>
    </row>
    <row r="778" spans="2:7">
      <c r="B778" s="5"/>
      <c r="F778" s="5"/>
      <c r="G778" s="5"/>
    </row>
    <row r="779" spans="2:7">
      <c r="B779" s="5"/>
      <c r="F779" s="5"/>
      <c r="G779" s="5"/>
    </row>
    <row r="780" spans="2:7">
      <c r="B780" s="5"/>
      <c r="F780" s="5"/>
      <c r="G780" s="5"/>
    </row>
    <row r="781" spans="2:7">
      <c r="B781" s="5"/>
      <c r="F781" s="5"/>
      <c r="G781" s="5"/>
    </row>
    <row r="782" spans="2:7">
      <c r="B782" s="5"/>
      <c r="F782" s="5"/>
      <c r="G782" s="5"/>
    </row>
    <row r="783" spans="2:7">
      <c r="B783" s="5"/>
      <c r="F783" s="5"/>
      <c r="G783" s="5"/>
    </row>
    <row r="784" spans="2:7">
      <c r="B784" s="5"/>
      <c r="F784" s="5"/>
      <c r="G784" s="5"/>
    </row>
    <row r="785" spans="2:7">
      <c r="B785" s="5"/>
      <c r="F785" s="5"/>
      <c r="G785" s="5"/>
    </row>
    <row r="786" spans="2:7">
      <c r="B786" s="5"/>
      <c r="F786" s="5"/>
      <c r="G786" s="5"/>
    </row>
    <row r="787" spans="2:7">
      <c r="B787" s="5"/>
      <c r="F787" s="5"/>
      <c r="G787" s="5"/>
    </row>
    <row r="788" spans="2:7">
      <c r="B788" s="5"/>
      <c r="F788" s="5"/>
      <c r="G788" s="5"/>
    </row>
    <row r="789" spans="2:7">
      <c r="B789" s="5"/>
      <c r="F789" s="5"/>
      <c r="G789" s="5"/>
    </row>
    <row r="790" spans="2:7">
      <c r="B790" s="5"/>
      <c r="F790" s="5"/>
      <c r="G790" s="5"/>
    </row>
    <row r="791" spans="2:7">
      <c r="B791" s="5"/>
      <c r="F791" s="5"/>
      <c r="G791" s="5"/>
    </row>
    <row r="792" spans="2:7">
      <c r="B792" s="5"/>
      <c r="F792" s="5"/>
      <c r="G792" s="5"/>
    </row>
    <row r="793" spans="2:7">
      <c r="B793" s="5"/>
      <c r="F793" s="5"/>
      <c r="G793" s="5"/>
    </row>
    <row r="794" spans="2:7">
      <c r="B794" s="5"/>
      <c r="F794" s="5"/>
      <c r="G794" s="5"/>
    </row>
    <row r="795" spans="2:7">
      <c r="B795" s="5"/>
      <c r="F795" s="5"/>
      <c r="G795" s="5"/>
    </row>
    <row r="796" spans="2:7">
      <c r="B796" s="5"/>
      <c r="F796" s="5"/>
      <c r="G796" s="5"/>
    </row>
    <row r="797" spans="2:7">
      <c r="B797" s="5"/>
      <c r="F797" s="5"/>
      <c r="G797" s="5"/>
    </row>
    <row r="798" spans="2:7">
      <c r="B798" s="5"/>
      <c r="F798" s="5"/>
      <c r="G798" s="5"/>
    </row>
    <row r="799" spans="2:7">
      <c r="B799" s="5"/>
      <c r="F799" s="5"/>
      <c r="G799" s="5"/>
    </row>
    <row r="800" spans="2:7">
      <c r="B800" s="5"/>
      <c r="F800" s="5"/>
      <c r="G800" s="5"/>
    </row>
    <row r="801" spans="2:7">
      <c r="B801" s="5"/>
      <c r="F801" s="5"/>
      <c r="G801" s="5"/>
    </row>
    <row r="802" spans="2:7">
      <c r="B802" s="5"/>
      <c r="F802" s="5"/>
      <c r="G802" s="5"/>
    </row>
    <row r="803" spans="2:7">
      <c r="B803" s="5"/>
      <c r="F803" s="5"/>
      <c r="G803" s="5"/>
    </row>
    <row r="804" spans="2:7">
      <c r="B804" s="5"/>
      <c r="F804" s="5"/>
      <c r="G804" s="5"/>
    </row>
    <row r="805" spans="2:7">
      <c r="B805" s="5"/>
      <c r="F805" s="5"/>
      <c r="G805" s="5"/>
    </row>
    <row r="806" spans="2:7">
      <c r="B806" s="5"/>
      <c r="F806" s="5"/>
      <c r="G806" s="5"/>
    </row>
    <row r="807" spans="2:7">
      <c r="B807" s="5"/>
      <c r="F807" s="5"/>
      <c r="G807" s="5"/>
    </row>
    <row r="808" spans="2:7">
      <c r="B808" s="5"/>
      <c r="F808" s="5"/>
      <c r="G808" s="5"/>
    </row>
    <row r="809" spans="2:7">
      <c r="B809" s="5"/>
      <c r="F809" s="5"/>
      <c r="G809" s="5"/>
    </row>
    <row r="810" spans="2:7">
      <c r="B810" s="5"/>
      <c r="F810" s="5"/>
      <c r="G810" s="5"/>
    </row>
    <row r="811" spans="2:7">
      <c r="B811" s="5"/>
      <c r="F811" s="5"/>
      <c r="G811" s="5"/>
    </row>
    <row r="812" spans="2:7">
      <c r="B812" s="5"/>
      <c r="F812" s="5"/>
      <c r="G812" s="5"/>
    </row>
    <row r="813" spans="2:7">
      <c r="B813" s="5"/>
      <c r="F813" s="5"/>
      <c r="G813" s="5"/>
    </row>
    <row r="814" spans="2:7">
      <c r="B814" s="5"/>
      <c r="F814" s="5"/>
      <c r="G814" s="5"/>
    </row>
    <row r="815" spans="2:7">
      <c r="B815" s="5"/>
      <c r="F815" s="5"/>
      <c r="G815" s="5"/>
    </row>
    <row r="816" spans="2:7">
      <c r="B816" s="5"/>
      <c r="F816" s="5"/>
      <c r="G816" s="5"/>
    </row>
    <row r="817" spans="2:7">
      <c r="B817" s="5"/>
      <c r="F817" s="5"/>
      <c r="G817" s="5"/>
    </row>
    <row r="818" spans="2:7">
      <c r="B818" s="5"/>
      <c r="F818" s="5"/>
      <c r="G818" s="5"/>
    </row>
    <row r="819" spans="2:7">
      <c r="B819" s="5"/>
      <c r="F819" s="5"/>
      <c r="G819" s="5"/>
    </row>
    <row r="820" spans="2:7">
      <c r="B820" s="5"/>
      <c r="F820" s="5"/>
      <c r="G820" s="5"/>
    </row>
    <row r="821" spans="2:7">
      <c r="B821" s="5"/>
      <c r="F821" s="5"/>
      <c r="G821" s="5"/>
    </row>
    <row r="822" spans="2:7">
      <c r="B822" s="5"/>
      <c r="F822" s="5"/>
      <c r="G822" s="5"/>
    </row>
    <row r="823" spans="2:7">
      <c r="B823" s="5"/>
      <c r="F823" s="5"/>
      <c r="G823" s="5"/>
    </row>
    <row r="824" spans="2:7">
      <c r="B824" s="5"/>
      <c r="F824" s="5"/>
      <c r="G824" s="5"/>
    </row>
    <row r="825" spans="2:7">
      <c r="B825" s="5"/>
      <c r="F825" s="5"/>
      <c r="G825" s="5"/>
    </row>
    <row r="826" spans="2:7">
      <c r="B826" s="5"/>
      <c r="F826" s="5"/>
      <c r="G826" s="5"/>
    </row>
    <row r="827" spans="2:7">
      <c r="B827" s="5"/>
      <c r="F827" s="5"/>
      <c r="G827" s="5"/>
    </row>
    <row r="828" spans="2:7">
      <c r="B828" s="5"/>
      <c r="F828" s="5"/>
      <c r="G828" s="5"/>
    </row>
    <row r="829" spans="2:7">
      <c r="B829" s="5"/>
      <c r="F829" s="5"/>
      <c r="G829" s="5"/>
    </row>
    <row r="830" spans="2:7">
      <c r="B830" s="5"/>
      <c r="F830" s="5"/>
      <c r="G830" s="5"/>
    </row>
    <row r="831" spans="2:7">
      <c r="B831" s="5"/>
      <c r="F831" s="5"/>
      <c r="G831" s="5"/>
    </row>
    <row r="832" spans="2:7">
      <c r="B832" s="5"/>
      <c r="F832" s="5"/>
      <c r="G832" s="5"/>
    </row>
    <row r="833" spans="2:7">
      <c r="B833" s="5"/>
      <c r="F833" s="5"/>
      <c r="G833" s="5"/>
    </row>
    <row r="834" spans="2:7">
      <c r="B834" s="5"/>
      <c r="F834" s="5"/>
      <c r="G834" s="5"/>
    </row>
    <row r="835" spans="2:7">
      <c r="B835" s="5"/>
      <c r="F835" s="5"/>
      <c r="G835" s="5"/>
    </row>
    <row r="836" spans="2:7">
      <c r="B836" s="5"/>
      <c r="F836" s="5"/>
      <c r="G836" s="5"/>
    </row>
    <row r="837" spans="2:7">
      <c r="B837" s="5"/>
      <c r="F837" s="5"/>
      <c r="G837" s="5"/>
    </row>
    <row r="838" spans="2:7">
      <c r="B838" s="5"/>
      <c r="F838" s="5"/>
      <c r="G838" s="5"/>
    </row>
    <row r="839" spans="2:7">
      <c r="B839" s="5"/>
      <c r="F839" s="5"/>
      <c r="G839" s="5"/>
    </row>
    <row r="840" spans="2:7">
      <c r="B840" s="5"/>
      <c r="F840" s="5"/>
      <c r="G840" s="5"/>
    </row>
    <row r="841" spans="2:7">
      <c r="B841" s="5"/>
      <c r="F841" s="5"/>
      <c r="G841" s="5"/>
    </row>
    <row r="842" spans="2:7">
      <c r="B842" s="5"/>
      <c r="F842" s="5"/>
      <c r="G842" s="5"/>
    </row>
    <row r="843" spans="2:7">
      <c r="B843" s="5"/>
      <c r="F843" s="5"/>
      <c r="G843" s="5"/>
    </row>
    <row r="844" spans="2:7">
      <c r="B844" s="5"/>
      <c r="F844" s="5"/>
      <c r="G844" s="5"/>
    </row>
    <row r="845" spans="2:7">
      <c r="B845" s="5"/>
      <c r="F845" s="5"/>
      <c r="G845" s="5"/>
    </row>
    <row r="846" spans="2:7">
      <c r="B846" s="5"/>
      <c r="F846" s="5"/>
      <c r="G846" s="5"/>
    </row>
    <row r="847" spans="2:7">
      <c r="B847" s="5"/>
      <c r="F847" s="5"/>
      <c r="G847" s="5"/>
    </row>
    <row r="848" spans="2:7">
      <c r="B848" s="5"/>
      <c r="F848" s="5"/>
      <c r="G848" s="5"/>
    </row>
    <row r="849" spans="2:7">
      <c r="B849" s="5"/>
      <c r="F849" s="5"/>
      <c r="G849" s="5"/>
    </row>
    <row r="850" spans="2:7">
      <c r="B850" s="5"/>
      <c r="F850" s="5"/>
      <c r="G850" s="5"/>
    </row>
    <row r="851" spans="2:7">
      <c r="B851" s="5"/>
      <c r="F851" s="5"/>
      <c r="G851" s="5"/>
    </row>
    <row r="852" spans="2:7">
      <c r="B852" s="5"/>
      <c r="F852" s="5"/>
      <c r="G852" s="5"/>
    </row>
    <row r="853" spans="2:7">
      <c r="B853" s="5"/>
      <c r="F853" s="5"/>
      <c r="G853" s="5"/>
    </row>
    <row r="854" spans="2:7">
      <c r="B854" s="5"/>
      <c r="F854" s="5"/>
      <c r="G854" s="5"/>
    </row>
    <row r="855" spans="2:7">
      <c r="B855" s="5"/>
      <c r="F855" s="5"/>
      <c r="G855" s="5"/>
    </row>
    <row r="856" spans="2:7">
      <c r="B856" s="5"/>
      <c r="F856" s="5"/>
      <c r="G856" s="5"/>
    </row>
    <row r="857" spans="2:7">
      <c r="B857" s="5"/>
      <c r="F857" s="5"/>
      <c r="G857" s="5"/>
    </row>
    <row r="858" spans="2:7">
      <c r="B858" s="5"/>
      <c r="F858" s="5"/>
      <c r="G858" s="5"/>
    </row>
    <row r="859" spans="2:7">
      <c r="B859" s="5"/>
      <c r="F859" s="5"/>
      <c r="G859" s="5"/>
    </row>
    <row r="860" spans="2:7">
      <c r="B860" s="5"/>
      <c r="F860" s="5"/>
      <c r="G860" s="5"/>
    </row>
    <row r="861" spans="2:7">
      <c r="B861" s="5"/>
      <c r="F861" s="5"/>
      <c r="G861" s="5"/>
    </row>
    <row r="862" spans="2:7">
      <c r="B862" s="5"/>
      <c r="F862" s="5"/>
      <c r="G862" s="5"/>
    </row>
    <row r="863" spans="2:7">
      <c r="B863" s="5"/>
      <c r="F863" s="5"/>
      <c r="G863" s="5"/>
    </row>
    <row r="864" spans="2:7">
      <c r="B864" s="5"/>
      <c r="F864" s="5"/>
      <c r="G864" s="5"/>
    </row>
    <row r="865" spans="2:7">
      <c r="B865" s="5"/>
      <c r="F865" s="5"/>
      <c r="G865" s="5"/>
    </row>
    <row r="866" spans="2:7">
      <c r="B866" s="5"/>
      <c r="F866" s="5"/>
      <c r="G866" s="5"/>
    </row>
    <row r="867" spans="2:7">
      <c r="B867" s="5"/>
      <c r="F867" s="5"/>
      <c r="G867" s="5"/>
    </row>
    <row r="868" spans="2:7">
      <c r="B868" s="5"/>
      <c r="F868" s="5"/>
      <c r="G868" s="5"/>
    </row>
    <row r="869" spans="2:7">
      <c r="B869" s="5"/>
      <c r="F869" s="5"/>
      <c r="G869" s="5"/>
    </row>
    <row r="870" spans="2:7">
      <c r="B870" s="5"/>
      <c r="F870" s="5"/>
      <c r="G870" s="5"/>
    </row>
    <row r="871" spans="2:7">
      <c r="B871" s="5"/>
      <c r="F871" s="5"/>
      <c r="G871" s="5"/>
    </row>
    <row r="872" spans="2:7">
      <c r="B872" s="5"/>
      <c r="F872" s="5"/>
      <c r="G872" s="5"/>
    </row>
    <row r="873" spans="2:7">
      <c r="B873" s="5"/>
      <c r="F873" s="5"/>
      <c r="G873" s="5"/>
    </row>
    <row r="874" spans="2:7">
      <c r="B874" s="5"/>
      <c r="F874" s="5"/>
      <c r="G874" s="5"/>
    </row>
    <row r="875" spans="2:7">
      <c r="B875" s="5"/>
      <c r="F875" s="5"/>
      <c r="G875" s="5"/>
    </row>
    <row r="876" spans="2:7">
      <c r="B876" s="5"/>
      <c r="F876" s="5"/>
      <c r="G876" s="5"/>
    </row>
    <row r="877" spans="2:7">
      <c r="B877" s="5"/>
      <c r="F877" s="5"/>
      <c r="G877" s="5"/>
    </row>
    <row r="878" spans="2:7">
      <c r="B878" s="5"/>
      <c r="F878" s="5"/>
      <c r="G878" s="5"/>
    </row>
    <row r="879" spans="2:7">
      <c r="B879" s="5"/>
      <c r="F879" s="5"/>
      <c r="G879" s="5"/>
    </row>
    <row r="880" spans="2:7">
      <c r="B880" s="5"/>
      <c r="F880" s="5"/>
      <c r="G880" s="5"/>
    </row>
    <row r="881" spans="2:7">
      <c r="B881" s="5"/>
      <c r="F881" s="5"/>
      <c r="G881" s="5"/>
    </row>
    <row r="882" spans="2:7">
      <c r="B882" s="5"/>
      <c r="F882" s="5"/>
      <c r="G882" s="5"/>
    </row>
    <row r="883" spans="2:7">
      <c r="B883" s="5"/>
      <c r="F883" s="5"/>
      <c r="G883" s="5"/>
    </row>
    <row r="884" spans="2:7">
      <c r="B884" s="5"/>
      <c r="F884" s="5"/>
      <c r="G884" s="5"/>
    </row>
    <row r="885" spans="2:7">
      <c r="B885" s="5"/>
      <c r="F885" s="5"/>
      <c r="G885" s="5"/>
    </row>
    <row r="886" spans="2:7">
      <c r="B886" s="5"/>
      <c r="F886" s="5"/>
      <c r="G886" s="5"/>
    </row>
    <row r="887" spans="2:7">
      <c r="B887" s="5"/>
      <c r="F887" s="5"/>
      <c r="G887" s="5"/>
    </row>
    <row r="888" spans="2:7">
      <c r="B888" s="5"/>
      <c r="F888" s="5"/>
      <c r="G888" s="5"/>
    </row>
    <row r="889" spans="2:7">
      <c r="B889" s="5"/>
      <c r="F889" s="5"/>
      <c r="G889" s="5"/>
    </row>
    <row r="890" spans="2:7">
      <c r="B890" s="5"/>
      <c r="F890" s="5"/>
      <c r="G890" s="5"/>
    </row>
    <row r="891" spans="2:7">
      <c r="B891" s="5"/>
      <c r="F891" s="5"/>
      <c r="G891" s="5"/>
    </row>
    <row r="892" spans="2:7">
      <c r="B892" s="5"/>
      <c r="F892" s="5"/>
      <c r="G892" s="5"/>
    </row>
    <row r="893" spans="2:7">
      <c r="B893" s="5"/>
      <c r="F893" s="5"/>
      <c r="G893" s="5"/>
    </row>
    <row r="894" spans="2:7">
      <c r="B894" s="5"/>
      <c r="F894" s="5"/>
      <c r="G894" s="5"/>
    </row>
    <row r="895" spans="2:7">
      <c r="B895" s="5"/>
      <c r="F895" s="5"/>
      <c r="G895" s="5"/>
    </row>
    <row r="896" spans="2:7">
      <c r="B896" s="5"/>
      <c r="F896" s="5"/>
      <c r="G896" s="5"/>
    </row>
    <row r="897" spans="2:7">
      <c r="B897" s="5"/>
      <c r="F897" s="5"/>
      <c r="G897" s="5"/>
    </row>
    <row r="898" spans="2:7">
      <c r="B898" s="5"/>
      <c r="F898" s="5"/>
      <c r="G898" s="5"/>
    </row>
    <row r="899" spans="2:7">
      <c r="B899" s="5"/>
      <c r="F899" s="5"/>
      <c r="G899" s="5"/>
    </row>
    <row r="900" spans="2:7">
      <c r="B900" s="5"/>
      <c r="F900" s="5"/>
      <c r="G900" s="5"/>
    </row>
    <row r="901" spans="2:7">
      <c r="B901" s="5"/>
      <c r="F901" s="5"/>
      <c r="G901" s="5"/>
    </row>
    <row r="902" spans="2:7">
      <c r="B902" s="5"/>
      <c r="F902" s="5"/>
      <c r="G902" s="5"/>
    </row>
    <row r="903" spans="2:7">
      <c r="B903" s="5"/>
      <c r="F903" s="5"/>
      <c r="G903" s="5"/>
    </row>
    <row r="904" spans="2:7">
      <c r="B904" s="5"/>
      <c r="F904" s="5"/>
      <c r="G904" s="5"/>
    </row>
    <row r="905" spans="2:7">
      <c r="B905" s="5"/>
      <c r="F905" s="5"/>
      <c r="G905" s="5"/>
    </row>
    <row r="906" spans="2:7">
      <c r="B906" s="5"/>
      <c r="F906" s="5"/>
      <c r="G906" s="5"/>
    </row>
    <row r="907" spans="2:7">
      <c r="B907" s="5"/>
      <c r="F907" s="5"/>
      <c r="G907" s="5"/>
    </row>
    <row r="908" spans="2:7">
      <c r="B908" s="5"/>
      <c r="F908" s="5"/>
      <c r="G908" s="5"/>
    </row>
    <row r="909" spans="2:7">
      <c r="B909" s="5"/>
      <c r="F909" s="5"/>
      <c r="G909" s="5"/>
    </row>
    <row r="910" spans="2:7">
      <c r="B910" s="5"/>
      <c r="F910" s="5"/>
      <c r="G910" s="5"/>
    </row>
    <row r="911" spans="2:7">
      <c r="B911" s="5"/>
      <c r="F911" s="5"/>
      <c r="G911" s="5"/>
    </row>
    <row r="912" spans="2:7">
      <c r="B912" s="5"/>
      <c r="F912" s="5"/>
      <c r="G912" s="5"/>
    </row>
    <row r="913" spans="2:7">
      <c r="B913" s="5"/>
      <c r="F913" s="5"/>
      <c r="G913" s="5"/>
    </row>
    <row r="914" spans="2:7">
      <c r="B914" s="5"/>
      <c r="F914" s="5"/>
      <c r="G914" s="5"/>
    </row>
    <row r="915" spans="2:7">
      <c r="B915" s="5"/>
      <c r="F915" s="5"/>
      <c r="G915" s="5"/>
    </row>
    <row r="916" spans="2:7">
      <c r="B916" s="5"/>
      <c r="F916" s="5"/>
      <c r="G916" s="5"/>
    </row>
    <row r="917" spans="2:7">
      <c r="B917" s="5"/>
      <c r="F917" s="5"/>
      <c r="G917" s="5"/>
    </row>
    <row r="918" spans="2:7">
      <c r="B918" s="5"/>
      <c r="F918" s="5"/>
      <c r="G918" s="5"/>
    </row>
    <row r="919" spans="2:7">
      <c r="B919" s="5"/>
      <c r="F919" s="5"/>
      <c r="G919" s="5"/>
    </row>
    <row r="920" spans="2:7">
      <c r="B920" s="5"/>
      <c r="F920" s="5"/>
      <c r="G920" s="5"/>
    </row>
    <row r="921" spans="2:7">
      <c r="B921" s="5"/>
      <c r="F921" s="5"/>
      <c r="G921" s="5"/>
    </row>
    <row r="922" spans="2:7">
      <c r="B922" s="5"/>
      <c r="F922" s="5"/>
      <c r="G922" s="5"/>
    </row>
    <row r="923" spans="2:7">
      <c r="B923" s="5"/>
      <c r="F923" s="5"/>
      <c r="G923" s="5"/>
    </row>
    <row r="924" spans="2:7">
      <c r="B924" s="5"/>
      <c r="F924" s="5"/>
      <c r="G924" s="5"/>
    </row>
    <row r="925" spans="2:7">
      <c r="B925" s="5"/>
      <c r="F925" s="5"/>
      <c r="G925" s="5"/>
    </row>
    <row r="926" spans="2:7">
      <c r="B926" s="5"/>
      <c r="F926" s="5"/>
      <c r="G926" s="5"/>
    </row>
    <row r="927" spans="2:7">
      <c r="B927" s="5"/>
      <c r="F927" s="5"/>
      <c r="G927" s="5"/>
    </row>
    <row r="928" spans="2:7">
      <c r="B928" s="5"/>
      <c r="F928" s="5"/>
      <c r="G928" s="5"/>
    </row>
    <row r="929" spans="2:7">
      <c r="B929" s="5"/>
      <c r="F929" s="5"/>
      <c r="G929" s="5"/>
    </row>
    <row r="930" spans="2:7">
      <c r="B930" s="5"/>
      <c r="F930" s="5"/>
      <c r="G930" s="5"/>
    </row>
    <row r="931" spans="2:7">
      <c r="B931" s="5"/>
      <c r="F931" s="5"/>
      <c r="G931" s="5"/>
    </row>
    <row r="932" spans="2:7">
      <c r="B932" s="5"/>
      <c r="F932" s="5"/>
      <c r="G932" s="5"/>
    </row>
    <row r="933" spans="2:7">
      <c r="B933" s="5"/>
      <c r="F933" s="5"/>
      <c r="G933" s="5"/>
    </row>
    <row r="934" spans="2:7">
      <c r="B934" s="5"/>
      <c r="F934" s="5"/>
      <c r="G934" s="5"/>
    </row>
    <row r="935" spans="2:7">
      <c r="B935" s="5"/>
      <c r="F935" s="5"/>
      <c r="G935" s="5"/>
    </row>
    <row r="936" spans="2:7">
      <c r="B936" s="5"/>
      <c r="F936" s="5"/>
      <c r="G936" s="5"/>
    </row>
    <row r="937" spans="2:7">
      <c r="B937" s="5"/>
      <c r="F937" s="5"/>
      <c r="G937" s="5"/>
    </row>
    <row r="938" spans="2:7">
      <c r="B938" s="5"/>
      <c r="F938" s="5"/>
      <c r="G938" s="5"/>
    </row>
    <row r="939" spans="2:7">
      <c r="B939" s="5"/>
      <c r="F939" s="5"/>
      <c r="G939" s="5"/>
    </row>
    <row r="940" spans="2:7">
      <c r="B940" s="5"/>
      <c r="F940" s="5"/>
      <c r="G940" s="5"/>
    </row>
    <row r="941" spans="2:7">
      <c r="B941" s="5"/>
      <c r="F941" s="5"/>
      <c r="G941" s="5"/>
    </row>
    <row r="942" spans="2:7">
      <c r="B942" s="5"/>
      <c r="F942" s="5"/>
      <c r="G942" s="5"/>
    </row>
    <row r="943" spans="2:7">
      <c r="B943" s="5"/>
      <c r="F943" s="5"/>
      <c r="G943" s="5"/>
    </row>
    <row r="944" spans="2:7">
      <c r="B944" s="5"/>
      <c r="F944" s="5"/>
      <c r="G944" s="5"/>
    </row>
    <row r="945" spans="2:7">
      <c r="B945" s="5"/>
      <c r="F945" s="5"/>
      <c r="G945" s="5"/>
    </row>
    <row r="946" spans="2:7">
      <c r="B946" s="5"/>
      <c r="F946" s="5"/>
      <c r="G946" s="5"/>
    </row>
    <row r="947" spans="2:7">
      <c r="B947" s="5"/>
      <c r="F947" s="5"/>
      <c r="G947" s="5"/>
    </row>
    <row r="948" spans="2:7">
      <c r="B948" s="5"/>
      <c r="F948" s="5"/>
      <c r="G948" s="5"/>
    </row>
    <row r="949" spans="2:7">
      <c r="B949" s="5"/>
      <c r="F949" s="5"/>
      <c r="G949" s="5"/>
    </row>
    <row r="950" spans="2:7">
      <c r="B950" s="5"/>
      <c r="F950" s="5"/>
      <c r="G950" s="5"/>
    </row>
    <row r="951" spans="2:7">
      <c r="B951" s="5"/>
      <c r="F951" s="5"/>
      <c r="G951" s="5"/>
    </row>
    <row r="952" spans="2:7">
      <c r="B952" s="5"/>
      <c r="F952" s="5"/>
      <c r="G952" s="5"/>
    </row>
    <row r="953" spans="2:7">
      <c r="B953" s="5"/>
      <c r="F953" s="5"/>
      <c r="G953" s="5"/>
    </row>
    <row r="954" spans="2:7">
      <c r="B954" s="5"/>
      <c r="F954" s="5"/>
      <c r="G954" s="5"/>
    </row>
    <row r="955" spans="2:7">
      <c r="B955" s="5"/>
      <c r="F955" s="5"/>
      <c r="G955" s="5"/>
    </row>
    <row r="956" spans="2:7">
      <c r="B956" s="5"/>
      <c r="F956" s="5"/>
      <c r="G956" s="5"/>
    </row>
    <row r="957" spans="2:7">
      <c r="B957" s="5"/>
      <c r="F957" s="5"/>
      <c r="G957" s="5"/>
    </row>
    <row r="958" spans="2:7">
      <c r="B958" s="5"/>
      <c r="F958" s="5"/>
      <c r="G958" s="5"/>
    </row>
    <row r="959" spans="2:7">
      <c r="B959" s="5"/>
      <c r="F959" s="5"/>
      <c r="G959" s="5"/>
    </row>
    <row r="960" spans="2:7">
      <c r="B960" s="5"/>
      <c r="F960" s="5"/>
      <c r="G960" s="5"/>
    </row>
    <row r="961" spans="2:7">
      <c r="B961" s="5"/>
      <c r="F961" s="5"/>
      <c r="G961" s="5"/>
    </row>
    <row r="962" spans="2:7">
      <c r="B962" s="5"/>
      <c r="F962" s="5"/>
      <c r="G962" s="5"/>
    </row>
    <row r="963" spans="2:7">
      <c r="B963" s="5"/>
      <c r="F963" s="5"/>
      <c r="G963" s="5"/>
    </row>
    <row r="964" spans="2:7">
      <c r="B964" s="5"/>
      <c r="F964" s="5"/>
      <c r="G964" s="5"/>
    </row>
    <row r="965" spans="2:7">
      <c r="B965" s="5"/>
      <c r="F965" s="5"/>
      <c r="G965" s="5"/>
    </row>
    <row r="966" spans="2:7">
      <c r="B966" s="5"/>
      <c r="F966" s="5"/>
      <c r="G966" s="5"/>
    </row>
    <row r="967" spans="2:7">
      <c r="B967" s="5"/>
      <c r="F967" s="5"/>
      <c r="G967" s="5"/>
    </row>
    <row r="968" spans="2:7">
      <c r="B968" s="5"/>
      <c r="F968" s="5"/>
      <c r="G968" s="5"/>
    </row>
    <row r="969" spans="2:7">
      <c r="B969" s="5"/>
      <c r="F969" s="5"/>
      <c r="G969" s="5"/>
    </row>
    <row r="970" spans="2:7">
      <c r="B970" s="5"/>
      <c r="F970" s="5"/>
      <c r="G970" s="5"/>
    </row>
    <row r="971" spans="2:7">
      <c r="B971" s="5"/>
      <c r="F971" s="5"/>
      <c r="G971" s="5"/>
    </row>
    <row r="972" spans="2:7">
      <c r="B972" s="5"/>
      <c r="F972" s="5"/>
      <c r="G972" s="5"/>
    </row>
    <row r="973" spans="2:7">
      <c r="B973" s="5"/>
      <c r="F973" s="5"/>
      <c r="G973" s="5"/>
    </row>
    <row r="974" spans="2:7">
      <c r="B974" s="5"/>
      <c r="F974" s="5"/>
      <c r="G974" s="5"/>
    </row>
    <row r="975" spans="2:7">
      <c r="B975" s="5"/>
      <c r="F975" s="5"/>
      <c r="G975" s="5"/>
    </row>
    <row r="976" spans="2:7">
      <c r="B976" s="5"/>
      <c r="F976" s="5"/>
      <c r="G976" s="5"/>
    </row>
    <row r="977" spans="2:7">
      <c r="B977" s="5"/>
      <c r="F977" s="5"/>
      <c r="G977" s="5"/>
    </row>
    <row r="978" spans="2:7">
      <c r="B978" s="5"/>
      <c r="F978" s="5"/>
      <c r="G978" s="5"/>
    </row>
    <row r="979" spans="2:7">
      <c r="B979" s="5"/>
      <c r="F979" s="5"/>
      <c r="G979" s="5"/>
    </row>
    <row r="980" spans="2:7">
      <c r="B980" s="5"/>
      <c r="F980" s="5"/>
      <c r="G980" s="5"/>
    </row>
    <row r="981" spans="2:7">
      <c r="B981" s="5"/>
      <c r="F981" s="5"/>
      <c r="G981" s="5"/>
    </row>
    <row r="982" spans="2:7">
      <c r="B982" s="5"/>
      <c r="F982" s="5"/>
      <c r="G982" s="5"/>
    </row>
    <row r="983" spans="2:7">
      <c r="B983" s="5"/>
      <c r="F983" s="5"/>
      <c r="G983" s="5"/>
    </row>
    <row r="984" spans="2:7">
      <c r="B984" s="5"/>
      <c r="F984" s="5"/>
      <c r="G984" s="5"/>
    </row>
    <row r="985" spans="2:7">
      <c r="B985" s="5"/>
      <c r="F985" s="5"/>
      <c r="G985" s="5"/>
    </row>
    <row r="986" spans="2:7">
      <c r="B986" s="5"/>
      <c r="F986" s="5"/>
      <c r="G986" s="5"/>
    </row>
    <row r="987" spans="2:7">
      <c r="B987" s="5"/>
      <c r="F987" s="5"/>
      <c r="G987" s="5"/>
    </row>
    <row r="988" spans="2:7">
      <c r="B988" s="5"/>
      <c r="F988" s="5"/>
      <c r="G988" s="5"/>
    </row>
    <row r="989" spans="2:7">
      <c r="B989" s="5"/>
      <c r="F989" s="5"/>
      <c r="G989" s="5"/>
    </row>
    <row r="990" spans="2:7">
      <c r="B990" s="5"/>
      <c r="F990" s="5"/>
      <c r="G990" s="5"/>
    </row>
    <row r="991" spans="2:7">
      <c r="B991" s="5"/>
      <c r="F991" s="5"/>
      <c r="G991" s="5"/>
    </row>
    <row r="992" spans="2:7">
      <c r="B992" s="5"/>
      <c r="F992" s="5"/>
      <c r="G992" s="5"/>
    </row>
    <row r="993" spans="2:7">
      <c r="B993" s="5"/>
      <c r="F993" s="5"/>
      <c r="G993" s="5"/>
    </row>
    <row r="994" spans="2:7">
      <c r="B994" s="5"/>
      <c r="F994" s="5"/>
      <c r="G994" s="5"/>
    </row>
    <row r="995" spans="2:7">
      <c r="B995" s="5"/>
      <c r="F995" s="5"/>
      <c r="G995" s="5"/>
    </row>
    <row r="996" spans="2:7">
      <c r="B996" s="5"/>
      <c r="F996" s="5"/>
      <c r="G996" s="5"/>
    </row>
    <row r="997" spans="2:7">
      <c r="B997" s="5"/>
      <c r="F997" s="5"/>
      <c r="G997" s="5"/>
    </row>
    <row r="998" spans="2:7">
      <c r="B998" s="5"/>
      <c r="F998" s="5"/>
      <c r="G998" s="5"/>
    </row>
    <row r="999" spans="2:7">
      <c r="B999" s="5"/>
      <c r="F999" s="5"/>
      <c r="G999" s="5"/>
    </row>
    <row r="1000" spans="2:7">
      <c r="B1000" s="5"/>
      <c r="F1000" s="5"/>
      <c r="G1000" s="5"/>
    </row>
  </sheetData>
  <mergeCells count="6">
    <mergeCell ref="A1:C1"/>
    <mergeCell ref="E1:G1"/>
    <mergeCell ref="J1:K1"/>
    <mergeCell ref="L1:M1"/>
    <mergeCell ref="J2:K3"/>
    <mergeCell ref="L2:M3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8"/>
  <sheetViews>
    <sheetView workbookViewId="0">
      <selection activeCell="C6" sqref="C6"/>
    </sheetView>
  </sheetViews>
  <sheetFormatPr defaultColWidth="12.5703125" defaultRowHeight="15.75" customHeight="1"/>
  <cols>
    <col min="1" max="1" width="37.42578125" customWidth="1"/>
    <col min="2" max="2" width="22.42578125" customWidth="1"/>
    <col min="3" max="3" width="62.42578125" customWidth="1"/>
  </cols>
  <sheetData>
    <row r="1" spans="1:3">
      <c r="A1" s="4" t="s">
        <v>16</v>
      </c>
      <c r="B1" s="17"/>
      <c r="C1" s="4" t="s">
        <v>22</v>
      </c>
    </row>
    <row r="2" spans="1:3">
      <c r="A2" s="4" t="s">
        <v>23</v>
      </c>
      <c r="B2" s="22">
        <v>0.15</v>
      </c>
      <c r="C2" s="4" t="s">
        <v>24</v>
      </c>
    </row>
    <row r="3" spans="1:3">
      <c r="A3" s="4" t="s">
        <v>25</v>
      </c>
      <c r="B3" s="4" t="s">
        <v>26</v>
      </c>
      <c r="C3" s="4" t="s">
        <v>27</v>
      </c>
    </row>
    <row r="4" spans="1:3">
      <c r="A4" s="4" t="s">
        <v>28</v>
      </c>
      <c r="B4" s="4" t="s">
        <v>29</v>
      </c>
      <c r="C4" s="4" t="s">
        <v>30</v>
      </c>
    </row>
    <row r="5" spans="1:3">
      <c r="A5" s="4" t="s">
        <v>31</v>
      </c>
      <c r="B5" s="35" t="b">
        <v>0</v>
      </c>
      <c r="C5" s="4" t="s">
        <v>32</v>
      </c>
    </row>
    <row r="6" spans="1:3">
      <c r="A6" s="4" t="s">
        <v>33</v>
      </c>
      <c r="B6" s="35" t="b">
        <v>0</v>
      </c>
      <c r="C6" s="4" t="s">
        <v>34</v>
      </c>
    </row>
    <row r="7" spans="1:3">
      <c r="A7" s="4" t="s">
        <v>35</v>
      </c>
      <c r="B7" s="7">
        <v>0</v>
      </c>
    </row>
    <row r="8" spans="1:3">
      <c r="A8" s="4" t="s">
        <v>36</v>
      </c>
      <c r="B8" s="7">
        <v>0</v>
      </c>
    </row>
  </sheetData>
  <dataValidations count="3">
    <dataValidation type="list" allowBlank="1" showErrorMessage="1" sqref="B3" xr:uid="{00000000-0002-0000-0300-000000000000}">
      <formula1>"Camera di Commercio,Gestione separata,Libero professionista"</formula1>
    </dataValidation>
    <dataValidation type="list" allowBlank="1" showErrorMessage="1" sqref="B4" xr:uid="{00000000-0002-0000-0300-000001000000}">
      <formula1>"Commerciante,Artigiano"</formula1>
    </dataValidation>
    <dataValidation type="list" allowBlank="1" showErrorMessage="1" sqref="B2" xr:uid="{00000000-0002-0000-0300-000003000000}">
      <formula1>"5%,15%"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2000000}">
          <x14:formula1>
            <xm:f>'Codici ATECO 2022'!$A$2:$A1002</xm:f>
          </x14:formula1>
          <xm:sqref>B1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6"/>
  <sheetViews>
    <sheetView workbookViewId="0"/>
  </sheetViews>
  <sheetFormatPr defaultColWidth="12.5703125" defaultRowHeight="15.75" customHeight="1"/>
  <cols>
    <col min="1" max="1" width="49.7109375" customWidth="1"/>
    <col min="3" max="4" width="14.85546875" customWidth="1"/>
    <col min="5" max="5" width="13.42578125" customWidth="1"/>
  </cols>
  <sheetData>
    <row r="1" spans="1:2">
      <c r="A1" s="4" t="s">
        <v>37</v>
      </c>
      <c r="B1" s="7">
        <v>85000</v>
      </c>
    </row>
    <row r="2" spans="1:2">
      <c r="A2" s="4" t="s">
        <v>38</v>
      </c>
      <c r="B2" s="7">
        <v>100000</v>
      </c>
    </row>
    <row r="3" spans="1:2">
      <c r="A3" s="4"/>
      <c r="B3" s="7"/>
    </row>
    <row r="4" spans="1:2">
      <c r="A4" s="23" t="s">
        <v>39</v>
      </c>
      <c r="B4" s="23"/>
    </row>
    <row r="5" spans="1:2">
      <c r="A5" s="4" t="s">
        <v>40</v>
      </c>
      <c r="B5" s="7">
        <v>4549.7</v>
      </c>
    </row>
    <row r="6" spans="1:2">
      <c r="A6" s="4" t="s">
        <v>41</v>
      </c>
      <c r="B6" s="7">
        <v>4460.6400000000003</v>
      </c>
    </row>
    <row r="7" spans="1:2">
      <c r="A7" s="4" t="s">
        <v>42</v>
      </c>
      <c r="B7" s="24">
        <v>0.35</v>
      </c>
    </row>
    <row r="8" spans="1:2">
      <c r="A8" s="4"/>
      <c r="B8" s="7"/>
    </row>
    <row r="9" spans="1:2">
      <c r="A9" s="4" t="s">
        <v>43</v>
      </c>
      <c r="B9" s="7">
        <v>18555</v>
      </c>
    </row>
    <row r="10" spans="1:2">
      <c r="A10" s="4" t="s">
        <v>44</v>
      </c>
      <c r="B10" s="24">
        <v>0.24479999999999999</v>
      </c>
    </row>
    <row r="11" spans="1:2">
      <c r="A11" s="4" t="s">
        <v>45</v>
      </c>
      <c r="B11" s="24">
        <v>0.24</v>
      </c>
    </row>
    <row r="12" spans="1:2">
      <c r="A12" s="4"/>
      <c r="B12" s="7"/>
    </row>
    <row r="13" spans="1:2">
      <c r="A13" s="4" t="s">
        <v>46</v>
      </c>
      <c r="B13" s="7">
        <v>55448</v>
      </c>
    </row>
    <row r="14" spans="1:2">
      <c r="A14" s="4" t="s">
        <v>47</v>
      </c>
      <c r="B14" s="24">
        <v>0.25480000000000003</v>
      </c>
    </row>
    <row r="15" spans="1:2">
      <c r="A15" s="4" t="s">
        <v>48</v>
      </c>
      <c r="B15" s="24">
        <v>0.25</v>
      </c>
    </row>
    <row r="17" spans="1:2">
      <c r="A17" s="23" t="s">
        <v>49</v>
      </c>
      <c r="B17" s="23"/>
    </row>
    <row r="18" spans="1:2">
      <c r="A18" s="4" t="s">
        <v>50</v>
      </c>
      <c r="B18" s="24">
        <v>0.26229999999999998</v>
      </c>
    </row>
    <row r="19" spans="1:2">
      <c r="A19" s="4" t="s">
        <v>51</v>
      </c>
      <c r="B19" s="24">
        <v>0.24</v>
      </c>
    </row>
    <row r="21" spans="1:2">
      <c r="A21" s="23" t="s">
        <v>52</v>
      </c>
      <c r="B21" s="23"/>
    </row>
    <row r="22" spans="1:2">
      <c r="A22" s="4" t="s">
        <v>53</v>
      </c>
      <c r="B22" s="22">
        <v>0</v>
      </c>
    </row>
    <row r="24" spans="1:2">
      <c r="A24" s="23" t="s">
        <v>54</v>
      </c>
      <c r="B24" s="23"/>
    </row>
    <row r="25" spans="1:2">
      <c r="A25" s="4" t="s">
        <v>55</v>
      </c>
      <c r="B25" s="7">
        <v>77.47</v>
      </c>
    </row>
    <row r="26" spans="1:2">
      <c r="A26" s="4" t="s">
        <v>56</v>
      </c>
      <c r="B26" s="7">
        <v>2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7"/>
  <sheetViews>
    <sheetView workbookViewId="0"/>
  </sheetViews>
  <sheetFormatPr defaultColWidth="12.5703125" defaultRowHeight="15.75" customHeight="1"/>
  <cols>
    <col min="1" max="1" width="34.85546875" customWidth="1"/>
  </cols>
  <sheetData>
    <row r="1" spans="1:2">
      <c r="A1" s="4" t="s">
        <v>57</v>
      </c>
      <c r="B1" s="5">
        <f ca="1">IF(Impostazioni!B1&lt;&gt;"",SUM(Pagamenti!D2:D1006),SUM('Somma Fatture ATECO'!B2:B1006))</f>
        <v>0</v>
      </c>
    </row>
    <row r="2" spans="1:2">
      <c r="A2" s="4" t="s">
        <v>58</v>
      </c>
      <c r="B2" s="5">
        <f ca="1">IF(Impostazioni!B1&lt;&gt;"",B1*IFERROR(VLOOKUP(Impostazioni!B1,'Codici ATECO 2022'!A$2:C1006,3),0),SUM('Somma Fatture ATECO'!D2:D1006))</f>
        <v>0</v>
      </c>
    </row>
    <row r="4" spans="1:2">
      <c r="A4" s="4" t="s">
        <v>59</v>
      </c>
      <c r="B4" s="17">
        <f>COUNTIF(Pagamenti!D3:D1006,"&gt;"&amp;'Valori fissi 2025'!B25)</f>
        <v>0</v>
      </c>
    </row>
    <row r="5" spans="1:2">
      <c r="A5" s="4" t="s">
        <v>60</v>
      </c>
      <c r="B5" s="5">
        <f>B4*'Valori fissi 2025'!B26</f>
        <v>0</v>
      </c>
    </row>
    <row r="7" spans="1:2">
      <c r="A7" s="23" t="s">
        <v>61</v>
      </c>
      <c r="B7" s="25"/>
    </row>
    <row r="8" spans="1:2">
      <c r="A8" s="4" t="s">
        <v>7</v>
      </c>
      <c r="B8" s="5">
        <f ca="1">MAX(0,(B2-IF(Impostazioni!B3="Camera di Commercio",IF(Impostazioni!B5,B17,B16),IF(Impostazioni!B3="Gestione separata",B22,B27)))*Impostazioni!B2)</f>
        <v>0</v>
      </c>
    </row>
    <row r="11" spans="1:2">
      <c r="A11" s="23" t="s">
        <v>62</v>
      </c>
      <c r="B11" s="25"/>
    </row>
    <row r="12" spans="1:2">
      <c r="A12" s="4" t="s">
        <v>63</v>
      </c>
      <c r="B12" s="5">
        <f>IF(Impostazioni!B4="Commerciante",'Valori fissi 2025'!B5,'Valori fissi 2025'!B6)</f>
        <v>4549.7</v>
      </c>
    </row>
    <row r="13" spans="1:2">
      <c r="A13" s="4" t="s">
        <v>64</v>
      </c>
      <c r="B13" s="5">
        <f ca="1">IF(B2-'Valori fissi 2025'!B9 &gt; 0,MIN(B2-'Valori fissi 2025'!B9,'Valori fissi 2025'!B13-'Valori fissi 2025'!B9),0)</f>
        <v>0</v>
      </c>
    </row>
    <row r="14" spans="1:2">
      <c r="A14" s="4" t="s">
        <v>65</v>
      </c>
      <c r="B14" s="5">
        <f ca="1">IF(B2-'Valori fissi 2025'!B13 &gt; 0,B2-'Valori fissi 2025'!B13,0)</f>
        <v>0</v>
      </c>
    </row>
    <row r="15" spans="1:2">
      <c r="A15" s="4" t="s">
        <v>66</v>
      </c>
      <c r="B15" s="5">
        <f ca="1">(B13*IF(Impostazioni!B4="Commerciante",'Valori fissi 2025'!B10,'Valori fissi 2025'!B11))+(B14*IF(Impostazioni!B4="Commerciante",'Valori fissi 2025'!B14,'Valori fissi 2025'!B15))</f>
        <v>0</v>
      </c>
    </row>
    <row r="16" spans="1:2">
      <c r="A16" s="4" t="s">
        <v>67</v>
      </c>
      <c r="B16" s="5">
        <f ca="1">B12+B15</f>
        <v>4549.7</v>
      </c>
    </row>
    <row r="17" spans="1:2">
      <c r="A17" s="4" t="s">
        <v>68</v>
      </c>
      <c r="B17" s="5">
        <f ca="1">B16*(1-'Valori fissi 2025'!B7)</f>
        <v>2957.3049999999998</v>
      </c>
    </row>
    <row r="20" spans="1:2">
      <c r="A20" s="23" t="s">
        <v>49</v>
      </c>
      <c r="B20" s="25"/>
    </row>
    <row r="21" spans="1:2">
      <c r="A21" s="4" t="s">
        <v>69</v>
      </c>
      <c r="B21" s="26">
        <f>IF(Impostazioni!B6,'Valori fissi 2025'!B19,'Valori fissi 2025'!B18)</f>
        <v>0.26229999999999998</v>
      </c>
    </row>
    <row r="22" spans="1:2">
      <c r="A22" s="4" t="s">
        <v>70</v>
      </c>
      <c r="B22" s="5">
        <f ca="1">B2*B21</f>
        <v>0</v>
      </c>
    </row>
    <row r="25" spans="1:2">
      <c r="A25" s="23" t="s">
        <v>71</v>
      </c>
      <c r="B25" s="25"/>
    </row>
    <row r="26" spans="1:2">
      <c r="A26" s="4" t="s">
        <v>72</v>
      </c>
      <c r="B26" s="22">
        <f>'Valori fissi 2025'!B22</f>
        <v>0</v>
      </c>
    </row>
    <row r="27" spans="1:2">
      <c r="A27" s="4" t="s">
        <v>70</v>
      </c>
      <c r="B27" s="5">
        <f ca="1">B2*B26</f>
        <v>0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240"/>
  <sheetViews>
    <sheetView workbookViewId="0"/>
  </sheetViews>
  <sheetFormatPr defaultColWidth="12.5703125" defaultRowHeight="15.75" customHeight="1"/>
  <cols>
    <col min="3" max="3" width="20.85546875" customWidth="1"/>
  </cols>
  <sheetData>
    <row r="1" spans="1:4">
      <c r="A1" s="11" t="s">
        <v>73</v>
      </c>
      <c r="B1" s="11" t="s">
        <v>74</v>
      </c>
      <c r="C1" s="11" t="s">
        <v>75</v>
      </c>
      <c r="D1" s="11" t="s">
        <v>2</v>
      </c>
    </row>
    <row r="2" spans="1:4">
      <c r="A2" s="17" t="e">
        <f t="array" aca="1" ref="A2" ca="1">_xludf.UNIQUE(Pagamenti!E2:E1240)</f>
        <v>#NAME?</v>
      </c>
      <c r="B2" s="5">
        <f ca="1">SUMIF(Pagamenti!E$2:E1240,A2,Pagamenti!D$2:D1240)</f>
        <v>0</v>
      </c>
      <c r="C2" s="17">
        <f ca="1">IFERROR(VLOOKUP(A2,'Codici ATECO 2022'!A$2:C1240,3),0)</f>
        <v>0</v>
      </c>
      <c r="D2" s="5">
        <f t="shared" ref="D2:D1240" ca="1" si="0">B2*C2</f>
        <v>0</v>
      </c>
    </row>
    <row r="3" spans="1:4">
      <c r="B3" s="5">
        <f>SUMIF(Pagamenti!E$2:E1240,A3,Pagamenti!D$2:D1240)</f>
        <v>0</v>
      </c>
      <c r="C3" s="17">
        <f>IFERROR(VLOOKUP(A3,'Codici ATECO 2022'!A$2:C1240,3),0)</f>
        <v>0</v>
      </c>
      <c r="D3" s="5">
        <f t="shared" si="0"/>
        <v>0</v>
      </c>
    </row>
    <row r="4" spans="1:4">
      <c r="B4" s="5">
        <f>SUMIF(Pagamenti!E$2:E1240,A4,Pagamenti!D$2:D1240)</f>
        <v>0</v>
      </c>
      <c r="C4" s="17">
        <f>IFERROR(VLOOKUP(A4,'Codici ATECO 2022'!A$2:C1240,3),0)</f>
        <v>0</v>
      </c>
      <c r="D4" s="5">
        <f t="shared" si="0"/>
        <v>0</v>
      </c>
    </row>
    <row r="5" spans="1:4">
      <c r="B5" s="5">
        <f>SUMIF(Pagamenti!E$2:E1240,A5,Pagamenti!D$2:D1240)</f>
        <v>0</v>
      </c>
      <c r="C5" s="17">
        <f>IFERROR(VLOOKUP(A5,'Codici ATECO 2022'!A$2:C1240,3),0)</f>
        <v>0</v>
      </c>
      <c r="D5" s="5">
        <f t="shared" si="0"/>
        <v>0</v>
      </c>
    </row>
    <row r="6" spans="1:4">
      <c r="B6" s="5">
        <f>SUMIF(Pagamenti!E$2:E1240,A6,Pagamenti!D$2:D1240)</f>
        <v>0</v>
      </c>
      <c r="C6" s="17">
        <f>IFERROR(VLOOKUP(A6,'Codici ATECO 2022'!A$2:C1240,3),0)</f>
        <v>0</v>
      </c>
      <c r="D6" s="5">
        <f t="shared" si="0"/>
        <v>0</v>
      </c>
    </row>
    <row r="7" spans="1:4">
      <c r="B7" s="5">
        <f>SUMIF(Pagamenti!E$2:E1240,A7,Pagamenti!D$2:D1240)</f>
        <v>0</v>
      </c>
      <c r="C7" s="17">
        <f>IFERROR(VLOOKUP(A7,'Codici ATECO 2022'!A$2:C1240,3),0)</f>
        <v>0</v>
      </c>
      <c r="D7" s="5">
        <f t="shared" si="0"/>
        <v>0</v>
      </c>
    </row>
    <row r="8" spans="1:4">
      <c r="B8" s="5">
        <f>SUMIF(Pagamenti!E$2:E1240,A8,Pagamenti!D$2:D1240)</f>
        <v>0</v>
      </c>
      <c r="C8" s="17">
        <f>IFERROR(VLOOKUP(A8,'Codici ATECO 2022'!A$2:C1240,3),0)</f>
        <v>0</v>
      </c>
      <c r="D8" s="5">
        <f t="shared" si="0"/>
        <v>0</v>
      </c>
    </row>
    <row r="9" spans="1:4">
      <c r="B9" s="5">
        <f>SUMIF(Pagamenti!E$2:E1240,A9,Pagamenti!D$2:D1240)</f>
        <v>0</v>
      </c>
      <c r="C9" s="17">
        <f>IFERROR(VLOOKUP(A9,'Codici ATECO 2022'!A$2:C1240,3),0)</f>
        <v>0</v>
      </c>
      <c r="D9" s="5">
        <f t="shared" si="0"/>
        <v>0</v>
      </c>
    </row>
    <row r="10" spans="1:4">
      <c r="B10" s="5">
        <f>SUMIF(Pagamenti!E$2:E1240,A10,Pagamenti!D$2:D1240)</f>
        <v>0</v>
      </c>
      <c r="C10" s="17">
        <f>IFERROR(VLOOKUP(A10,'Codici ATECO 2022'!A$2:C1240,3),0)</f>
        <v>0</v>
      </c>
      <c r="D10" s="5">
        <f t="shared" si="0"/>
        <v>0</v>
      </c>
    </row>
    <row r="11" spans="1:4">
      <c r="B11" s="5">
        <f>SUMIF(Pagamenti!E$2:E1240,A11,Pagamenti!D$2:D1240)</f>
        <v>0</v>
      </c>
      <c r="C11" s="17">
        <f>IFERROR(VLOOKUP(A11,'Codici ATECO 2022'!A$2:C1240,3),0)</f>
        <v>0</v>
      </c>
      <c r="D11" s="5">
        <f t="shared" si="0"/>
        <v>0</v>
      </c>
    </row>
    <row r="12" spans="1:4">
      <c r="B12" s="5">
        <f>SUMIF(Pagamenti!E$2:E1240,A12,Pagamenti!D$2:D1240)</f>
        <v>0</v>
      </c>
      <c r="C12" s="17">
        <f>IFERROR(VLOOKUP(A12,'Codici ATECO 2022'!A$2:C1240,3),0)</f>
        <v>0</v>
      </c>
      <c r="D12" s="5">
        <f t="shared" si="0"/>
        <v>0</v>
      </c>
    </row>
    <row r="13" spans="1:4">
      <c r="B13" s="5">
        <f>SUMIF(Pagamenti!E$2:E1240,A13,Pagamenti!D$2:D1240)</f>
        <v>0</v>
      </c>
      <c r="C13" s="17">
        <f>IFERROR(VLOOKUP(A13,'Codici ATECO 2022'!A$2:C1240,3),0)</f>
        <v>0</v>
      </c>
      <c r="D13" s="5">
        <f t="shared" si="0"/>
        <v>0</v>
      </c>
    </row>
    <row r="14" spans="1:4">
      <c r="B14" s="5">
        <f>SUMIF(Pagamenti!E$2:E1240,A14,Pagamenti!D$2:D1240)</f>
        <v>0</v>
      </c>
      <c r="C14" s="17">
        <f>IFERROR(VLOOKUP(A14,'Codici ATECO 2022'!A$2:C1240,3),0)</f>
        <v>0</v>
      </c>
      <c r="D14" s="5">
        <f t="shared" si="0"/>
        <v>0</v>
      </c>
    </row>
    <row r="15" spans="1:4">
      <c r="B15" s="5">
        <f>SUMIF(Pagamenti!E$2:E1240,A15,Pagamenti!D$2:D1240)</f>
        <v>0</v>
      </c>
      <c r="C15" s="17">
        <f>IFERROR(VLOOKUP(A15,'Codici ATECO 2022'!A$2:C1240,3),0)</f>
        <v>0</v>
      </c>
      <c r="D15" s="5">
        <f t="shared" si="0"/>
        <v>0</v>
      </c>
    </row>
    <row r="16" spans="1:4">
      <c r="B16" s="5">
        <f>SUMIF(Pagamenti!E$2:E1240,A16,Pagamenti!D$2:D1240)</f>
        <v>0</v>
      </c>
      <c r="C16" s="17">
        <f>IFERROR(VLOOKUP(A16,'Codici ATECO 2022'!A$2:C1240,3),0)</f>
        <v>0</v>
      </c>
      <c r="D16" s="5">
        <f t="shared" si="0"/>
        <v>0</v>
      </c>
    </row>
    <row r="17" spans="2:4">
      <c r="B17" s="5">
        <f>SUMIF(Pagamenti!E$2:E1240,A17,Pagamenti!D$2:D1240)</f>
        <v>0</v>
      </c>
      <c r="C17" s="17">
        <f>IFERROR(VLOOKUP(A17,'Codici ATECO 2022'!A$2:C1240,3),0)</f>
        <v>0</v>
      </c>
      <c r="D17" s="5">
        <f t="shared" si="0"/>
        <v>0</v>
      </c>
    </row>
    <row r="18" spans="2:4">
      <c r="B18" s="5">
        <f>SUMIF(Pagamenti!E$2:E1240,A18,Pagamenti!D$2:D1240)</f>
        <v>0</v>
      </c>
      <c r="C18" s="17">
        <f>IFERROR(VLOOKUP(A18,'Codici ATECO 2022'!A$2:C1240,3),0)</f>
        <v>0</v>
      </c>
      <c r="D18" s="5">
        <f t="shared" si="0"/>
        <v>0</v>
      </c>
    </row>
    <row r="19" spans="2:4">
      <c r="B19" s="5">
        <f>SUMIF(Pagamenti!E$2:E1240,A19,Pagamenti!D$2:D1240)</f>
        <v>0</v>
      </c>
      <c r="C19" s="17">
        <f>IFERROR(VLOOKUP(A19,'Codici ATECO 2022'!A$2:C1240,3),0)</f>
        <v>0</v>
      </c>
      <c r="D19" s="5">
        <f t="shared" si="0"/>
        <v>0</v>
      </c>
    </row>
    <row r="20" spans="2:4">
      <c r="B20" s="5">
        <f>SUMIF(Pagamenti!E$2:E1240,A20,Pagamenti!D$2:D1240)</f>
        <v>0</v>
      </c>
      <c r="C20" s="17">
        <f>IFERROR(VLOOKUP(A20,'Codici ATECO 2022'!A$2:C1240,3),0)</f>
        <v>0</v>
      </c>
      <c r="D20" s="5">
        <f t="shared" si="0"/>
        <v>0</v>
      </c>
    </row>
    <row r="21" spans="2:4">
      <c r="B21" s="5">
        <f>SUMIF(Pagamenti!E$2:E1240,A21,Pagamenti!D$2:D1240)</f>
        <v>0</v>
      </c>
      <c r="C21" s="17">
        <f>IFERROR(VLOOKUP(A21,'Codici ATECO 2022'!A$2:C1240,3),0)</f>
        <v>0</v>
      </c>
      <c r="D21" s="5">
        <f t="shared" si="0"/>
        <v>0</v>
      </c>
    </row>
    <row r="22" spans="2:4">
      <c r="B22" s="5">
        <f>SUMIF(Pagamenti!E$2:E1240,A22,Pagamenti!D$2:D1240)</f>
        <v>0</v>
      </c>
      <c r="C22" s="17">
        <f>IFERROR(VLOOKUP(A22,'Codici ATECO 2022'!A$2:C1240,3),0)</f>
        <v>0</v>
      </c>
      <c r="D22" s="5">
        <f t="shared" si="0"/>
        <v>0</v>
      </c>
    </row>
    <row r="23" spans="2:4">
      <c r="B23" s="5">
        <f>SUMIF(Pagamenti!E$2:E1240,A23,Pagamenti!D$2:D1240)</f>
        <v>0</v>
      </c>
      <c r="C23" s="17">
        <f>IFERROR(VLOOKUP(A23,'Codici ATECO 2022'!A$2:C1240,3),0)</f>
        <v>0</v>
      </c>
      <c r="D23" s="5">
        <f t="shared" si="0"/>
        <v>0</v>
      </c>
    </row>
    <row r="24" spans="2:4">
      <c r="B24" s="5">
        <f>SUMIF(Pagamenti!E$2:E1240,A24,Pagamenti!D$2:D1240)</f>
        <v>0</v>
      </c>
      <c r="C24" s="17">
        <f>IFERROR(VLOOKUP(A24,'Codici ATECO 2022'!A$2:C1240,3),0)</f>
        <v>0</v>
      </c>
      <c r="D24" s="5">
        <f t="shared" si="0"/>
        <v>0</v>
      </c>
    </row>
    <row r="25" spans="2:4">
      <c r="B25" s="5">
        <f>SUMIF(Pagamenti!E$2:E1240,A25,Pagamenti!D$2:D1240)</f>
        <v>0</v>
      </c>
      <c r="C25" s="17">
        <f>IFERROR(VLOOKUP(A25,'Codici ATECO 2022'!A$2:C1240,3),0)</f>
        <v>0</v>
      </c>
      <c r="D25" s="5">
        <f t="shared" si="0"/>
        <v>0</v>
      </c>
    </row>
    <row r="26" spans="2:4">
      <c r="B26" s="5">
        <f>SUMIF(Pagamenti!E$2:E1240,A26,Pagamenti!D$2:D1240)</f>
        <v>0</v>
      </c>
      <c r="C26" s="17">
        <f>IFERROR(VLOOKUP(A26,'Codici ATECO 2022'!A$2:C1240,3),0)</f>
        <v>0</v>
      </c>
      <c r="D26" s="5">
        <f t="shared" si="0"/>
        <v>0</v>
      </c>
    </row>
    <row r="27" spans="2:4">
      <c r="B27" s="5">
        <f>SUMIF(Pagamenti!E$2:E1240,A27,Pagamenti!D$2:D1240)</f>
        <v>0</v>
      </c>
      <c r="C27" s="17">
        <f>IFERROR(VLOOKUP(A27,'Codici ATECO 2022'!A$2:C1240,3),0)</f>
        <v>0</v>
      </c>
      <c r="D27" s="5">
        <f t="shared" si="0"/>
        <v>0</v>
      </c>
    </row>
    <row r="28" spans="2:4">
      <c r="B28" s="5">
        <f>SUMIF(Pagamenti!E$2:E1240,A28,Pagamenti!D$2:D1240)</f>
        <v>0</v>
      </c>
      <c r="C28" s="17">
        <f>IFERROR(VLOOKUP(A28,'Codici ATECO 2022'!A$2:C1240,3),0)</f>
        <v>0</v>
      </c>
      <c r="D28" s="5">
        <f t="shared" si="0"/>
        <v>0</v>
      </c>
    </row>
    <row r="29" spans="2:4">
      <c r="B29" s="5">
        <f>SUMIF(Pagamenti!E$2:E1240,A29,Pagamenti!D$2:D1240)</f>
        <v>0</v>
      </c>
      <c r="C29" s="17">
        <f>IFERROR(VLOOKUP(A29,'Codici ATECO 2022'!A$2:C1240,3),0)</f>
        <v>0</v>
      </c>
      <c r="D29" s="5">
        <f t="shared" si="0"/>
        <v>0</v>
      </c>
    </row>
    <row r="30" spans="2:4">
      <c r="B30" s="5">
        <f>SUMIF(Pagamenti!E$2:E1240,A30,Pagamenti!D$2:D1240)</f>
        <v>0</v>
      </c>
      <c r="C30" s="17">
        <f>IFERROR(VLOOKUP(A30,'Codici ATECO 2022'!A$2:C1240,3),0)</f>
        <v>0</v>
      </c>
      <c r="D30" s="5">
        <f t="shared" si="0"/>
        <v>0</v>
      </c>
    </row>
    <row r="31" spans="2:4">
      <c r="B31" s="5">
        <f>SUMIF(Pagamenti!E$2:E1240,A31,Pagamenti!D$2:D1240)</f>
        <v>0</v>
      </c>
      <c r="C31" s="17">
        <f>IFERROR(VLOOKUP(A31,'Codici ATECO 2022'!A$2:C1240,3),0)</f>
        <v>0</v>
      </c>
      <c r="D31" s="5">
        <f t="shared" si="0"/>
        <v>0</v>
      </c>
    </row>
    <row r="32" spans="2:4">
      <c r="B32" s="5">
        <f>SUMIF(Pagamenti!E$2:E1240,A32,Pagamenti!D$2:D1240)</f>
        <v>0</v>
      </c>
      <c r="C32" s="17">
        <f>IFERROR(VLOOKUP(A32,'Codici ATECO 2022'!A$2:C1240,3),0)</f>
        <v>0</v>
      </c>
      <c r="D32" s="5">
        <f t="shared" si="0"/>
        <v>0</v>
      </c>
    </row>
    <row r="33" spans="2:4">
      <c r="B33" s="5">
        <f>SUMIF(Pagamenti!E$2:E1240,A33,Pagamenti!D$2:D1240)</f>
        <v>0</v>
      </c>
      <c r="C33" s="17">
        <f>IFERROR(VLOOKUP(A33,'Codici ATECO 2022'!A$2:C1240,3),0)</f>
        <v>0</v>
      </c>
      <c r="D33" s="5">
        <f t="shared" si="0"/>
        <v>0</v>
      </c>
    </row>
    <row r="34" spans="2:4">
      <c r="B34" s="5">
        <f>SUMIF(Pagamenti!E$2:E1240,A34,Pagamenti!D$2:D1240)</f>
        <v>0</v>
      </c>
      <c r="C34" s="17">
        <f>IFERROR(VLOOKUP(A34,'Codici ATECO 2022'!A$2:C1240,3),0)</f>
        <v>0</v>
      </c>
      <c r="D34" s="5">
        <f t="shared" si="0"/>
        <v>0</v>
      </c>
    </row>
    <row r="35" spans="2:4">
      <c r="B35" s="5">
        <f>SUMIF(Pagamenti!E$2:E1240,A35,Pagamenti!D$2:D1240)</f>
        <v>0</v>
      </c>
      <c r="C35" s="17">
        <f>IFERROR(VLOOKUP(A35,'Codici ATECO 2022'!A$2:C1240,3),0)</f>
        <v>0</v>
      </c>
      <c r="D35" s="5">
        <f t="shared" si="0"/>
        <v>0</v>
      </c>
    </row>
    <row r="36" spans="2:4">
      <c r="B36" s="5">
        <f>SUMIF(Pagamenti!E$2:E1240,A36,Pagamenti!D$2:D1240)</f>
        <v>0</v>
      </c>
      <c r="C36" s="17">
        <f>IFERROR(VLOOKUP(A36,'Codici ATECO 2022'!A$2:C1240,3),0)</f>
        <v>0</v>
      </c>
      <c r="D36" s="5">
        <f t="shared" si="0"/>
        <v>0</v>
      </c>
    </row>
    <row r="37" spans="2:4">
      <c r="B37" s="5">
        <f>SUMIF(Pagamenti!E$2:E1240,A37,Pagamenti!D$2:D1240)</f>
        <v>0</v>
      </c>
      <c r="C37" s="17">
        <f>IFERROR(VLOOKUP(A37,'Codici ATECO 2022'!A$2:C1240,3),0)</f>
        <v>0</v>
      </c>
      <c r="D37" s="5">
        <f t="shared" si="0"/>
        <v>0</v>
      </c>
    </row>
    <row r="38" spans="2:4">
      <c r="B38" s="5">
        <f>SUMIF(Pagamenti!E$2:E1240,A38,Pagamenti!D$2:D1240)</f>
        <v>0</v>
      </c>
      <c r="C38" s="17">
        <f>IFERROR(VLOOKUP(A38,'Codici ATECO 2022'!A$2:C1240,3),0)</f>
        <v>0</v>
      </c>
      <c r="D38" s="5">
        <f t="shared" si="0"/>
        <v>0</v>
      </c>
    </row>
    <row r="39" spans="2:4">
      <c r="B39" s="5">
        <f>SUMIF(Pagamenti!E$2:E1240,A39,Pagamenti!D$2:D1240)</f>
        <v>0</v>
      </c>
      <c r="C39" s="17">
        <f>IFERROR(VLOOKUP(A39,'Codici ATECO 2022'!A$2:C1240,3),0)</f>
        <v>0</v>
      </c>
      <c r="D39" s="5">
        <f t="shared" si="0"/>
        <v>0</v>
      </c>
    </row>
    <row r="40" spans="2:4">
      <c r="B40" s="5">
        <f>SUMIF(Pagamenti!E$2:E1240,A40,Pagamenti!D$2:D1240)</f>
        <v>0</v>
      </c>
      <c r="C40" s="17">
        <f>IFERROR(VLOOKUP(A40,'Codici ATECO 2022'!A$2:C1240,3),0)</f>
        <v>0</v>
      </c>
      <c r="D40" s="5">
        <f t="shared" si="0"/>
        <v>0</v>
      </c>
    </row>
    <row r="41" spans="2:4">
      <c r="B41" s="5">
        <f>SUMIF(Pagamenti!E$2:E1240,A41,Pagamenti!D$2:D1240)</f>
        <v>0</v>
      </c>
      <c r="C41" s="17">
        <f>IFERROR(VLOOKUP(A41,'Codici ATECO 2022'!A$2:C1240,3),0)</f>
        <v>0</v>
      </c>
      <c r="D41" s="5">
        <f t="shared" si="0"/>
        <v>0</v>
      </c>
    </row>
    <row r="42" spans="2:4">
      <c r="B42" s="5">
        <f>SUMIF(Pagamenti!E$2:E1240,A42,Pagamenti!D$2:D1240)</f>
        <v>0</v>
      </c>
      <c r="C42" s="17">
        <f>IFERROR(VLOOKUP(A42,'Codici ATECO 2022'!A$2:C1240,3),0)</f>
        <v>0</v>
      </c>
      <c r="D42" s="5">
        <f t="shared" si="0"/>
        <v>0</v>
      </c>
    </row>
    <row r="43" spans="2:4">
      <c r="B43" s="5">
        <f>SUMIF(Pagamenti!E$2:E1240,A43,Pagamenti!D$2:D1240)</f>
        <v>0</v>
      </c>
      <c r="C43" s="17">
        <f>IFERROR(VLOOKUP(A43,'Codici ATECO 2022'!A$2:C1240,3),0)</f>
        <v>0</v>
      </c>
      <c r="D43" s="5">
        <f t="shared" si="0"/>
        <v>0</v>
      </c>
    </row>
    <row r="44" spans="2:4">
      <c r="B44" s="5">
        <f>SUMIF(Pagamenti!E$2:E1240,A44,Pagamenti!D$2:D1240)</f>
        <v>0</v>
      </c>
      <c r="C44" s="17">
        <f>IFERROR(VLOOKUP(A44,'Codici ATECO 2022'!A$2:C1240,3),0)</f>
        <v>0</v>
      </c>
      <c r="D44" s="5">
        <f t="shared" si="0"/>
        <v>0</v>
      </c>
    </row>
    <row r="45" spans="2:4">
      <c r="B45" s="5">
        <f>SUMIF(Pagamenti!E$2:E1240,A45,Pagamenti!D$2:D1240)</f>
        <v>0</v>
      </c>
      <c r="C45" s="17">
        <f>IFERROR(VLOOKUP(A45,'Codici ATECO 2022'!A$2:C1240,3),0)</f>
        <v>0</v>
      </c>
      <c r="D45" s="5">
        <f t="shared" si="0"/>
        <v>0</v>
      </c>
    </row>
    <row r="46" spans="2:4">
      <c r="B46" s="5">
        <f>SUMIF(Pagamenti!E$2:E1240,A46,Pagamenti!D$2:D1240)</f>
        <v>0</v>
      </c>
      <c r="C46" s="17">
        <f>IFERROR(VLOOKUP(A46,'Codici ATECO 2022'!A$2:C1240,3),0)</f>
        <v>0</v>
      </c>
      <c r="D46" s="5">
        <f t="shared" si="0"/>
        <v>0</v>
      </c>
    </row>
    <row r="47" spans="2:4">
      <c r="B47" s="5">
        <f>SUMIF(Pagamenti!E$2:E1240,A47,Pagamenti!D$2:D1240)</f>
        <v>0</v>
      </c>
      <c r="C47" s="17">
        <f>IFERROR(VLOOKUP(A47,'Codici ATECO 2022'!A$2:C1240,3),0)</f>
        <v>0</v>
      </c>
      <c r="D47" s="5">
        <f t="shared" si="0"/>
        <v>0</v>
      </c>
    </row>
    <row r="48" spans="2:4">
      <c r="B48" s="5">
        <f>SUMIF(Pagamenti!E$2:E1240,A48,Pagamenti!D$2:D1240)</f>
        <v>0</v>
      </c>
      <c r="C48" s="17">
        <f>IFERROR(VLOOKUP(A48,'Codici ATECO 2022'!A$2:C1240,3),0)</f>
        <v>0</v>
      </c>
      <c r="D48" s="5">
        <f t="shared" si="0"/>
        <v>0</v>
      </c>
    </row>
    <row r="49" spans="2:4">
      <c r="B49" s="5">
        <f>SUMIF(Pagamenti!E$2:E1240,A49,Pagamenti!D$2:D1240)</f>
        <v>0</v>
      </c>
      <c r="C49" s="17">
        <f>IFERROR(VLOOKUP(A49,'Codici ATECO 2022'!A$2:C1240,3),0)</f>
        <v>0</v>
      </c>
      <c r="D49" s="5">
        <f t="shared" si="0"/>
        <v>0</v>
      </c>
    </row>
    <row r="50" spans="2:4">
      <c r="B50" s="5">
        <f>SUMIF(Pagamenti!E$2:E1240,A50,Pagamenti!D$2:D1240)</f>
        <v>0</v>
      </c>
      <c r="C50" s="17">
        <f>IFERROR(VLOOKUP(A50,'Codici ATECO 2022'!A$2:C1240,3),0)</f>
        <v>0</v>
      </c>
      <c r="D50" s="5">
        <f t="shared" si="0"/>
        <v>0</v>
      </c>
    </row>
    <row r="51" spans="2:4">
      <c r="B51" s="5">
        <f>SUMIF(Pagamenti!E$2:E1240,A51,Pagamenti!D$2:D1240)</f>
        <v>0</v>
      </c>
      <c r="C51" s="17">
        <f>IFERROR(VLOOKUP(A51,'Codici ATECO 2022'!A$2:C1240,3),0)</f>
        <v>0</v>
      </c>
      <c r="D51" s="5">
        <f t="shared" si="0"/>
        <v>0</v>
      </c>
    </row>
    <row r="52" spans="2:4">
      <c r="B52" s="5">
        <f>SUMIF(Pagamenti!E$2:E1240,A52,Pagamenti!D$2:D1240)</f>
        <v>0</v>
      </c>
      <c r="C52" s="17">
        <f>IFERROR(VLOOKUP(A52,'Codici ATECO 2022'!A$2:C1240,3),0)</f>
        <v>0</v>
      </c>
      <c r="D52" s="5">
        <f t="shared" si="0"/>
        <v>0</v>
      </c>
    </row>
    <row r="53" spans="2:4">
      <c r="B53" s="5">
        <f>SUMIF(Pagamenti!E$2:E1240,A53,Pagamenti!D$2:D1240)</f>
        <v>0</v>
      </c>
      <c r="C53" s="17">
        <f>IFERROR(VLOOKUP(A53,'Codici ATECO 2022'!A$2:C1240,3),0)</f>
        <v>0</v>
      </c>
      <c r="D53" s="5">
        <f t="shared" si="0"/>
        <v>0</v>
      </c>
    </row>
    <row r="54" spans="2:4">
      <c r="B54" s="5">
        <f>SUMIF(Pagamenti!E$2:E1240,A54,Pagamenti!D$2:D1240)</f>
        <v>0</v>
      </c>
      <c r="C54" s="17">
        <f>IFERROR(VLOOKUP(A54,'Codici ATECO 2022'!A$2:C1240,3),0)</f>
        <v>0</v>
      </c>
      <c r="D54" s="5">
        <f t="shared" si="0"/>
        <v>0</v>
      </c>
    </row>
    <row r="55" spans="2:4">
      <c r="B55" s="5">
        <f>SUMIF(Pagamenti!E$2:E1240,A55,Pagamenti!D$2:D1240)</f>
        <v>0</v>
      </c>
      <c r="C55" s="17">
        <f>IFERROR(VLOOKUP(A55,'Codici ATECO 2022'!A$2:C1240,3),0)</f>
        <v>0</v>
      </c>
      <c r="D55" s="5">
        <f t="shared" si="0"/>
        <v>0</v>
      </c>
    </row>
    <row r="56" spans="2:4">
      <c r="B56" s="5">
        <f>SUMIF(Pagamenti!E$2:E1240,A56,Pagamenti!D$2:D1240)</f>
        <v>0</v>
      </c>
      <c r="C56" s="17">
        <f>IFERROR(VLOOKUP(A56,'Codici ATECO 2022'!A$2:C1240,3),0)</f>
        <v>0</v>
      </c>
      <c r="D56" s="5">
        <f t="shared" si="0"/>
        <v>0</v>
      </c>
    </row>
    <row r="57" spans="2:4">
      <c r="B57" s="5">
        <f>SUMIF(Pagamenti!E$2:E1240,A57,Pagamenti!D$2:D1240)</f>
        <v>0</v>
      </c>
      <c r="C57" s="17">
        <f>IFERROR(VLOOKUP(A57,'Codici ATECO 2022'!A$2:C1240,3),0)</f>
        <v>0</v>
      </c>
      <c r="D57" s="5">
        <f t="shared" si="0"/>
        <v>0</v>
      </c>
    </row>
    <row r="58" spans="2:4">
      <c r="B58" s="5">
        <f>SUMIF(Pagamenti!E$2:E1240,A58,Pagamenti!D$2:D1240)</f>
        <v>0</v>
      </c>
      <c r="C58" s="17">
        <f>IFERROR(VLOOKUP(A58,'Codici ATECO 2022'!A$2:C1240,3),0)</f>
        <v>0</v>
      </c>
      <c r="D58" s="5">
        <f t="shared" si="0"/>
        <v>0</v>
      </c>
    </row>
    <row r="59" spans="2:4">
      <c r="B59" s="5">
        <f>SUMIF(Pagamenti!E$2:E1240,A59,Pagamenti!D$2:D1240)</f>
        <v>0</v>
      </c>
      <c r="C59" s="17">
        <f>IFERROR(VLOOKUP(A59,'Codici ATECO 2022'!A$2:C1240,3),0)</f>
        <v>0</v>
      </c>
      <c r="D59" s="5">
        <f t="shared" si="0"/>
        <v>0</v>
      </c>
    </row>
    <row r="60" spans="2:4">
      <c r="B60" s="5">
        <f>SUMIF(Pagamenti!E$2:E1240,A60,Pagamenti!D$2:D1240)</f>
        <v>0</v>
      </c>
      <c r="C60" s="17">
        <f>IFERROR(VLOOKUP(A60,'Codici ATECO 2022'!A$2:C1240,3),0)</f>
        <v>0</v>
      </c>
      <c r="D60" s="5">
        <f t="shared" si="0"/>
        <v>0</v>
      </c>
    </row>
    <row r="61" spans="2:4">
      <c r="B61" s="5">
        <f>SUMIF(Pagamenti!E$2:E1240,A61,Pagamenti!D$2:D1240)</f>
        <v>0</v>
      </c>
      <c r="C61" s="17">
        <f>IFERROR(VLOOKUP(A61,'Codici ATECO 2022'!A$2:C1240,3),0)</f>
        <v>0</v>
      </c>
      <c r="D61" s="5">
        <f t="shared" si="0"/>
        <v>0</v>
      </c>
    </row>
    <row r="62" spans="2:4">
      <c r="B62" s="5">
        <f>SUMIF(Pagamenti!E$2:E1240,A62,Pagamenti!D$2:D1240)</f>
        <v>0</v>
      </c>
      <c r="C62" s="17">
        <f>IFERROR(VLOOKUP(A62,'Codici ATECO 2022'!A$2:C1240,3),0)</f>
        <v>0</v>
      </c>
      <c r="D62" s="5">
        <f t="shared" si="0"/>
        <v>0</v>
      </c>
    </row>
    <row r="63" spans="2:4">
      <c r="B63" s="5">
        <f>SUMIF(Pagamenti!E$2:E1240,A63,Pagamenti!D$2:D1240)</f>
        <v>0</v>
      </c>
      <c r="C63" s="17">
        <f>IFERROR(VLOOKUP(A63,'Codici ATECO 2022'!A$2:C1240,3),0)</f>
        <v>0</v>
      </c>
      <c r="D63" s="5">
        <f t="shared" si="0"/>
        <v>0</v>
      </c>
    </row>
    <row r="64" spans="2:4">
      <c r="B64" s="5">
        <f>SUMIF(Pagamenti!E$2:E1240,A64,Pagamenti!D$2:D1240)</f>
        <v>0</v>
      </c>
      <c r="C64" s="17">
        <f>IFERROR(VLOOKUP(A64,'Codici ATECO 2022'!A$2:C1240,3),0)</f>
        <v>0</v>
      </c>
      <c r="D64" s="5">
        <f t="shared" si="0"/>
        <v>0</v>
      </c>
    </row>
    <row r="65" spans="2:4">
      <c r="B65" s="5">
        <f>SUMIF(Pagamenti!E$2:E1240,A65,Pagamenti!D$2:D1240)</f>
        <v>0</v>
      </c>
      <c r="C65" s="17">
        <f>IFERROR(VLOOKUP(A65,'Codici ATECO 2022'!A$2:C1240,3),0)</f>
        <v>0</v>
      </c>
      <c r="D65" s="5">
        <f t="shared" si="0"/>
        <v>0</v>
      </c>
    </row>
    <row r="66" spans="2:4">
      <c r="B66" s="5">
        <f>SUMIF(Pagamenti!E$2:E1240,A66,Pagamenti!D$2:D1240)</f>
        <v>0</v>
      </c>
      <c r="C66" s="17">
        <f>IFERROR(VLOOKUP(A66,'Codici ATECO 2022'!A$2:C1240,3),0)</f>
        <v>0</v>
      </c>
      <c r="D66" s="5">
        <f t="shared" si="0"/>
        <v>0</v>
      </c>
    </row>
    <row r="67" spans="2:4">
      <c r="B67" s="5">
        <f>SUMIF(Pagamenti!E$2:E1240,A67,Pagamenti!D$2:D1240)</f>
        <v>0</v>
      </c>
      <c r="C67" s="17">
        <f>IFERROR(VLOOKUP(A67,'Codici ATECO 2022'!A$2:C1240,3),0)</f>
        <v>0</v>
      </c>
      <c r="D67" s="5">
        <f t="shared" si="0"/>
        <v>0</v>
      </c>
    </row>
    <row r="68" spans="2:4">
      <c r="B68" s="5">
        <f>SUMIF(Pagamenti!E$2:E1240,A68,Pagamenti!D$2:D1240)</f>
        <v>0</v>
      </c>
      <c r="C68" s="17">
        <f>IFERROR(VLOOKUP(A68,'Codici ATECO 2022'!A$2:C1240,3),0)</f>
        <v>0</v>
      </c>
      <c r="D68" s="5">
        <f t="shared" si="0"/>
        <v>0</v>
      </c>
    </row>
    <row r="69" spans="2:4">
      <c r="B69" s="5">
        <f>SUMIF(Pagamenti!E$2:E1240,A69,Pagamenti!D$2:D1240)</f>
        <v>0</v>
      </c>
      <c r="C69" s="17">
        <f>IFERROR(VLOOKUP(A69,'Codici ATECO 2022'!A$2:C1240,3),0)</f>
        <v>0</v>
      </c>
      <c r="D69" s="5">
        <f t="shared" si="0"/>
        <v>0</v>
      </c>
    </row>
    <row r="70" spans="2:4">
      <c r="B70" s="5">
        <f>SUMIF(Pagamenti!E$2:E1240,A70,Pagamenti!D$2:D1240)</f>
        <v>0</v>
      </c>
      <c r="C70" s="17">
        <f>IFERROR(VLOOKUP(A70,'Codici ATECO 2022'!A$2:C1240,3),0)</f>
        <v>0</v>
      </c>
      <c r="D70" s="5">
        <f t="shared" si="0"/>
        <v>0</v>
      </c>
    </row>
    <row r="71" spans="2:4">
      <c r="B71" s="5">
        <f>SUMIF(Pagamenti!E$2:E1240,A71,Pagamenti!D$2:D1240)</f>
        <v>0</v>
      </c>
      <c r="C71" s="17">
        <f>IFERROR(VLOOKUP(A71,'Codici ATECO 2022'!A$2:C1240,3),0)</f>
        <v>0</v>
      </c>
      <c r="D71" s="5">
        <f t="shared" si="0"/>
        <v>0</v>
      </c>
    </row>
    <row r="72" spans="2:4">
      <c r="B72" s="5">
        <f>SUMIF(Pagamenti!E$2:E1240,A72,Pagamenti!D$2:D1240)</f>
        <v>0</v>
      </c>
      <c r="C72" s="17">
        <f>IFERROR(VLOOKUP(A72,'Codici ATECO 2022'!A$2:C1240,3),0)</f>
        <v>0</v>
      </c>
      <c r="D72" s="5">
        <f t="shared" si="0"/>
        <v>0</v>
      </c>
    </row>
    <row r="73" spans="2:4">
      <c r="B73" s="5">
        <f>SUMIF(Pagamenti!E$2:E1240,A73,Pagamenti!D$2:D1240)</f>
        <v>0</v>
      </c>
      <c r="C73" s="17">
        <f>IFERROR(VLOOKUP(A73,'Codici ATECO 2022'!A$2:C1240,3),0)</f>
        <v>0</v>
      </c>
      <c r="D73" s="5">
        <f t="shared" si="0"/>
        <v>0</v>
      </c>
    </row>
    <row r="74" spans="2:4">
      <c r="B74" s="5">
        <f>SUMIF(Pagamenti!E$2:E1240,A74,Pagamenti!D$2:D1240)</f>
        <v>0</v>
      </c>
      <c r="C74" s="17">
        <f>IFERROR(VLOOKUP(A74,'Codici ATECO 2022'!A$2:C1240,3),0)</f>
        <v>0</v>
      </c>
      <c r="D74" s="5">
        <f t="shared" si="0"/>
        <v>0</v>
      </c>
    </row>
    <row r="75" spans="2:4">
      <c r="B75" s="5">
        <f>SUMIF(Pagamenti!E$2:E1240,A75,Pagamenti!D$2:D1240)</f>
        <v>0</v>
      </c>
      <c r="C75" s="17">
        <f>IFERROR(VLOOKUP(A75,'Codici ATECO 2022'!A$2:C1240,3),0)</f>
        <v>0</v>
      </c>
      <c r="D75" s="5">
        <f t="shared" si="0"/>
        <v>0</v>
      </c>
    </row>
    <row r="76" spans="2:4">
      <c r="B76" s="5">
        <f>SUMIF(Pagamenti!E$2:E1240,A76,Pagamenti!D$2:D1240)</f>
        <v>0</v>
      </c>
      <c r="C76" s="17">
        <f>IFERROR(VLOOKUP(A76,'Codici ATECO 2022'!A$2:C1240,3),0)</f>
        <v>0</v>
      </c>
      <c r="D76" s="5">
        <f t="shared" si="0"/>
        <v>0</v>
      </c>
    </row>
    <row r="77" spans="2:4">
      <c r="B77" s="5">
        <f>SUMIF(Pagamenti!E$2:E1240,A77,Pagamenti!D$2:D1240)</f>
        <v>0</v>
      </c>
      <c r="C77" s="17">
        <f>IFERROR(VLOOKUP(A77,'Codici ATECO 2022'!A$2:C1240,3),0)</f>
        <v>0</v>
      </c>
      <c r="D77" s="5">
        <f t="shared" si="0"/>
        <v>0</v>
      </c>
    </row>
    <row r="78" spans="2:4">
      <c r="B78" s="5">
        <f>SUMIF(Pagamenti!E$2:E1240,A78,Pagamenti!D$2:D1240)</f>
        <v>0</v>
      </c>
      <c r="C78" s="17">
        <f>IFERROR(VLOOKUP(A78,'Codici ATECO 2022'!A$2:C1240,3),0)</f>
        <v>0</v>
      </c>
      <c r="D78" s="5">
        <f t="shared" si="0"/>
        <v>0</v>
      </c>
    </row>
    <row r="79" spans="2:4">
      <c r="B79" s="5">
        <f>SUMIF(Pagamenti!E$2:E1240,A79,Pagamenti!D$2:D1240)</f>
        <v>0</v>
      </c>
      <c r="C79" s="17">
        <f>IFERROR(VLOOKUP(A79,'Codici ATECO 2022'!A$2:C1240,3),0)</f>
        <v>0</v>
      </c>
      <c r="D79" s="5">
        <f t="shared" si="0"/>
        <v>0</v>
      </c>
    </row>
    <row r="80" spans="2:4">
      <c r="B80" s="5">
        <f>SUMIF(Pagamenti!E$2:E1240,A80,Pagamenti!D$2:D1240)</f>
        <v>0</v>
      </c>
      <c r="C80" s="17">
        <f>IFERROR(VLOOKUP(A80,'Codici ATECO 2022'!A$2:C1240,3),0)</f>
        <v>0</v>
      </c>
      <c r="D80" s="5">
        <f t="shared" si="0"/>
        <v>0</v>
      </c>
    </row>
    <row r="81" spans="2:4">
      <c r="B81" s="5">
        <f>SUMIF(Pagamenti!E$2:E1240,A81,Pagamenti!D$2:D1240)</f>
        <v>0</v>
      </c>
      <c r="C81" s="17">
        <f>IFERROR(VLOOKUP(A81,'Codici ATECO 2022'!A$2:C1240,3),0)</f>
        <v>0</v>
      </c>
      <c r="D81" s="5">
        <f t="shared" si="0"/>
        <v>0</v>
      </c>
    </row>
    <row r="82" spans="2:4">
      <c r="B82" s="5">
        <f>SUMIF(Pagamenti!E$2:E1240,A82,Pagamenti!D$2:D1240)</f>
        <v>0</v>
      </c>
      <c r="C82" s="17">
        <f>IFERROR(VLOOKUP(A82,'Codici ATECO 2022'!A$2:C1240,3),0)</f>
        <v>0</v>
      </c>
      <c r="D82" s="5">
        <f t="shared" si="0"/>
        <v>0</v>
      </c>
    </row>
    <row r="83" spans="2:4">
      <c r="B83" s="5">
        <f>SUMIF(Pagamenti!E$2:E1240,A83,Pagamenti!D$2:D1240)</f>
        <v>0</v>
      </c>
      <c r="C83" s="17">
        <f>IFERROR(VLOOKUP(A83,'Codici ATECO 2022'!A$2:C1240,3),0)</f>
        <v>0</v>
      </c>
      <c r="D83" s="5">
        <f t="shared" si="0"/>
        <v>0</v>
      </c>
    </row>
    <row r="84" spans="2:4">
      <c r="B84" s="5">
        <f>SUMIF(Pagamenti!E$2:E1240,A84,Pagamenti!D$2:D1240)</f>
        <v>0</v>
      </c>
      <c r="C84" s="17">
        <f>IFERROR(VLOOKUP(A84,'Codici ATECO 2022'!A$2:C1240,3),0)</f>
        <v>0</v>
      </c>
      <c r="D84" s="5">
        <f t="shared" si="0"/>
        <v>0</v>
      </c>
    </row>
    <row r="85" spans="2:4">
      <c r="B85" s="5">
        <f>SUMIF(Pagamenti!E$2:E1240,A85,Pagamenti!D$2:D1240)</f>
        <v>0</v>
      </c>
      <c r="C85" s="17">
        <f>IFERROR(VLOOKUP(A85,'Codici ATECO 2022'!A$2:C1240,3),0)</f>
        <v>0</v>
      </c>
      <c r="D85" s="5">
        <f t="shared" si="0"/>
        <v>0</v>
      </c>
    </row>
    <row r="86" spans="2:4">
      <c r="B86" s="5">
        <f>SUMIF(Pagamenti!E$2:E1240,A86,Pagamenti!D$2:D1240)</f>
        <v>0</v>
      </c>
      <c r="C86" s="17">
        <f>IFERROR(VLOOKUP(A86,'Codici ATECO 2022'!A$2:C1240,3),0)</f>
        <v>0</v>
      </c>
      <c r="D86" s="5">
        <f t="shared" si="0"/>
        <v>0</v>
      </c>
    </row>
    <row r="87" spans="2:4">
      <c r="B87" s="5">
        <f>SUMIF(Pagamenti!E$2:E1240,A87,Pagamenti!D$2:D1240)</f>
        <v>0</v>
      </c>
      <c r="C87" s="17">
        <f>IFERROR(VLOOKUP(A87,'Codici ATECO 2022'!A$2:C1240,3),0)</f>
        <v>0</v>
      </c>
      <c r="D87" s="5">
        <f t="shared" si="0"/>
        <v>0</v>
      </c>
    </row>
    <row r="88" spans="2:4">
      <c r="B88" s="5">
        <f>SUMIF(Pagamenti!E$2:E1240,A88,Pagamenti!D$2:D1240)</f>
        <v>0</v>
      </c>
      <c r="C88" s="17">
        <f>IFERROR(VLOOKUP(A88,'Codici ATECO 2022'!A$2:C1240,3),0)</f>
        <v>0</v>
      </c>
      <c r="D88" s="5">
        <f t="shared" si="0"/>
        <v>0</v>
      </c>
    </row>
    <row r="89" spans="2:4">
      <c r="B89" s="5">
        <f>SUMIF(Pagamenti!E$2:E1240,A89,Pagamenti!D$2:D1240)</f>
        <v>0</v>
      </c>
      <c r="C89" s="17">
        <f>IFERROR(VLOOKUP(A89,'Codici ATECO 2022'!A$2:C1240,3),0)</f>
        <v>0</v>
      </c>
      <c r="D89" s="5">
        <f t="shared" si="0"/>
        <v>0</v>
      </c>
    </row>
    <row r="90" spans="2:4">
      <c r="B90" s="5">
        <f>SUMIF(Pagamenti!E$2:E1240,A90,Pagamenti!D$2:D1240)</f>
        <v>0</v>
      </c>
      <c r="C90" s="17">
        <f>IFERROR(VLOOKUP(A90,'Codici ATECO 2022'!A$2:C1240,3),0)</f>
        <v>0</v>
      </c>
      <c r="D90" s="5">
        <f t="shared" si="0"/>
        <v>0</v>
      </c>
    </row>
    <row r="91" spans="2:4">
      <c r="B91" s="5">
        <f>SUMIF(Pagamenti!E$2:E1240,A91,Pagamenti!D$2:D1240)</f>
        <v>0</v>
      </c>
      <c r="C91" s="17">
        <f>IFERROR(VLOOKUP(A91,'Codici ATECO 2022'!A$2:C1240,3),0)</f>
        <v>0</v>
      </c>
      <c r="D91" s="5">
        <f t="shared" si="0"/>
        <v>0</v>
      </c>
    </row>
    <row r="92" spans="2:4">
      <c r="B92" s="5">
        <f>SUMIF(Pagamenti!E$2:E1240,A92,Pagamenti!D$2:D1240)</f>
        <v>0</v>
      </c>
      <c r="C92" s="17">
        <f>IFERROR(VLOOKUP(A92,'Codici ATECO 2022'!A$2:C1240,3),0)</f>
        <v>0</v>
      </c>
      <c r="D92" s="5">
        <f t="shared" si="0"/>
        <v>0</v>
      </c>
    </row>
    <row r="93" spans="2:4">
      <c r="B93" s="5">
        <f>SUMIF(Pagamenti!E$2:E1240,A93,Pagamenti!D$2:D1240)</f>
        <v>0</v>
      </c>
      <c r="C93" s="17">
        <f>IFERROR(VLOOKUP(A93,'Codici ATECO 2022'!A$2:C1240,3),0)</f>
        <v>0</v>
      </c>
      <c r="D93" s="5">
        <f t="shared" si="0"/>
        <v>0</v>
      </c>
    </row>
    <row r="94" spans="2:4">
      <c r="B94" s="5">
        <f>SUMIF(Pagamenti!E$2:E1240,A94,Pagamenti!D$2:D1240)</f>
        <v>0</v>
      </c>
      <c r="C94" s="17">
        <f>IFERROR(VLOOKUP(A94,'Codici ATECO 2022'!A$2:C1240,3),0)</f>
        <v>0</v>
      </c>
      <c r="D94" s="5">
        <f t="shared" si="0"/>
        <v>0</v>
      </c>
    </row>
    <row r="95" spans="2:4">
      <c r="B95" s="5">
        <f>SUMIF(Pagamenti!E$2:E1240,A95,Pagamenti!D$2:D1240)</f>
        <v>0</v>
      </c>
      <c r="C95" s="17">
        <f>IFERROR(VLOOKUP(A95,'Codici ATECO 2022'!A$2:C1240,3),0)</f>
        <v>0</v>
      </c>
      <c r="D95" s="5">
        <f t="shared" si="0"/>
        <v>0</v>
      </c>
    </row>
    <row r="96" spans="2:4">
      <c r="B96" s="5">
        <f>SUMIF(Pagamenti!E$2:E1240,A96,Pagamenti!D$2:D1240)</f>
        <v>0</v>
      </c>
      <c r="C96" s="17">
        <f>IFERROR(VLOOKUP(A96,'Codici ATECO 2022'!A$2:C1240,3),0)</f>
        <v>0</v>
      </c>
      <c r="D96" s="5">
        <f t="shared" si="0"/>
        <v>0</v>
      </c>
    </row>
    <row r="97" spans="2:4">
      <c r="B97" s="5">
        <f>SUMIF(Pagamenti!E$2:E1240,A97,Pagamenti!D$2:D1240)</f>
        <v>0</v>
      </c>
      <c r="C97" s="17">
        <f>IFERROR(VLOOKUP(A97,'Codici ATECO 2022'!A$2:C1240,3),0)</f>
        <v>0</v>
      </c>
      <c r="D97" s="5">
        <f t="shared" si="0"/>
        <v>0</v>
      </c>
    </row>
    <row r="98" spans="2:4">
      <c r="B98" s="5">
        <f>SUMIF(Pagamenti!E$2:E1240,A98,Pagamenti!D$2:D1240)</f>
        <v>0</v>
      </c>
      <c r="C98" s="17">
        <f>IFERROR(VLOOKUP(A98,'Codici ATECO 2022'!A$2:C1240,3),0)</f>
        <v>0</v>
      </c>
      <c r="D98" s="5">
        <f t="shared" si="0"/>
        <v>0</v>
      </c>
    </row>
    <row r="99" spans="2:4">
      <c r="B99" s="5">
        <f>SUMIF(Pagamenti!E$2:E1240,A99,Pagamenti!D$2:D1240)</f>
        <v>0</v>
      </c>
      <c r="C99" s="17">
        <f>IFERROR(VLOOKUP(A99,'Codici ATECO 2022'!A$2:C1240,3),0)</f>
        <v>0</v>
      </c>
      <c r="D99" s="5">
        <f t="shared" si="0"/>
        <v>0</v>
      </c>
    </row>
    <row r="100" spans="2:4">
      <c r="B100" s="5">
        <f>SUMIF(Pagamenti!E$2:E1240,A100,Pagamenti!D$2:D1240)</f>
        <v>0</v>
      </c>
      <c r="C100" s="17">
        <f>IFERROR(VLOOKUP(A100,'Codici ATECO 2022'!A$2:C1240,3),0)</f>
        <v>0</v>
      </c>
      <c r="D100" s="5">
        <f t="shared" si="0"/>
        <v>0</v>
      </c>
    </row>
    <row r="101" spans="2:4">
      <c r="B101" s="5">
        <f>SUMIF(Pagamenti!E$2:E1240,A101,Pagamenti!D$2:D1240)</f>
        <v>0</v>
      </c>
      <c r="C101" s="17">
        <f>IFERROR(VLOOKUP(A101,'Codici ATECO 2022'!A$2:C1240,3),0)</f>
        <v>0</v>
      </c>
      <c r="D101" s="5">
        <f t="shared" si="0"/>
        <v>0</v>
      </c>
    </row>
    <row r="102" spans="2:4">
      <c r="B102" s="5">
        <f>SUMIF(Pagamenti!E$2:E1240,A102,Pagamenti!D$2:D1240)</f>
        <v>0</v>
      </c>
      <c r="C102" s="17">
        <f>IFERROR(VLOOKUP(A102,'Codici ATECO 2022'!A$2:C1240,3),0)</f>
        <v>0</v>
      </c>
      <c r="D102" s="5">
        <f t="shared" si="0"/>
        <v>0</v>
      </c>
    </row>
    <row r="103" spans="2:4">
      <c r="B103" s="5">
        <f>SUMIF(Pagamenti!E$2:E1240,A103,Pagamenti!D$2:D1240)</f>
        <v>0</v>
      </c>
      <c r="C103" s="17">
        <f>IFERROR(VLOOKUP(A103,'Codici ATECO 2022'!A$2:C1240,3),0)</f>
        <v>0</v>
      </c>
      <c r="D103" s="5">
        <f t="shared" si="0"/>
        <v>0</v>
      </c>
    </row>
    <row r="104" spans="2:4">
      <c r="B104" s="5">
        <f>SUMIF(Pagamenti!E$2:E1240,A104,Pagamenti!D$2:D1240)</f>
        <v>0</v>
      </c>
      <c r="C104" s="17">
        <f>IFERROR(VLOOKUP(A104,'Codici ATECO 2022'!A$2:C1240,3),0)</f>
        <v>0</v>
      </c>
      <c r="D104" s="5">
        <f t="shared" si="0"/>
        <v>0</v>
      </c>
    </row>
    <row r="105" spans="2:4">
      <c r="B105" s="5">
        <f>SUMIF(Pagamenti!E$2:E1240,A105,Pagamenti!D$2:D1240)</f>
        <v>0</v>
      </c>
      <c r="C105" s="17">
        <f>IFERROR(VLOOKUP(A105,'Codici ATECO 2022'!A$2:C1240,3),0)</f>
        <v>0</v>
      </c>
      <c r="D105" s="5">
        <f t="shared" si="0"/>
        <v>0</v>
      </c>
    </row>
    <row r="106" spans="2:4">
      <c r="B106" s="5">
        <f>SUMIF(Pagamenti!E$2:E1240,A106,Pagamenti!D$2:D1240)</f>
        <v>0</v>
      </c>
      <c r="C106" s="17">
        <f>IFERROR(VLOOKUP(A106,'Codici ATECO 2022'!A$2:C1240,3),0)</f>
        <v>0</v>
      </c>
      <c r="D106" s="5">
        <f t="shared" si="0"/>
        <v>0</v>
      </c>
    </row>
    <row r="107" spans="2:4">
      <c r="B107" s="5">
        <f>SUMIF(Pagamenti!E$2:E1240,A107,Pagamenti!D$2:D1240)</f>
        <v>0</v>
      </c>
      <c r="C107" s="17">
        <f>IFERROR(VLOOKUP(A107,'Codici ATECO 2022'!A$2:C1240,3),0)</f>
        <v>0</v>
      </c>
      <c r="D107" s="5">
        <f t="shared" si="0"/>
        <v>0</v>
      </c>
    </row>
    <row r="108" spans="2:4">
      <c r="B108" s="5">
        <f>SUMIF(Pagamenti!E$2:E1240,A108,Pagamenti!D$2:D1240)</f>
        <v>0</v>
      </c>
      <c r="C108" s="17">
        <f>IFERROR(VLOOKUP(A108,'Codici ATECO 2022'!A$2:C1240,3),0)</f>
        <v>0</v>
      </c>
      <c r="D108" s="5">
        <f t="shared" si="0"/>
        <v>0</v>
      </c>
    </row>
    <row r="109" spans="2:4">
      <c r="B109" s="5">
        <f>SUMIF(Pagamenti!E$2:E1240,A109,Pagamenti!D$2:D1240)</f>
        <v>0</v>
      </c>
      <c r="C109" s="17">
        <f>IFERROR(VLOOKUP(A109,'Codici ATECO 2022'!A$2:C1240,3),0)</f>
        <v>0</v>
      </c>
      <c r="D109" s="5">
        <f t="shared" si="0"/>
        <v>0</v>
      </c>
    </row>
    <row r="110" spans="2:4">
      <c r="B110" s="5">
        <f>SUMIF(Pagamenti!E$2:E1240,A110,Pagamenti!D$2:D1240)</f>
        <v>0</v>
      </c>
      <c r="C110" s="17">
        <f>IFERROR(VLOOKUP(A110,'Codici ATECO 2022'!A$2:C1240,3),0)</f>
        <v>0</v>
      </c>
      <c r="D110" s="5">
        <f t="shared" si="0"/>
        <v>0</v>
      </c>
    </row>
    <row r="111" spans="2:4">
      <c r="B111" s="5">
        <f>SUMIF(Pagamenti!E$2:E1240,A111,Pagamenti!D$2:D1240)</f>
        <v>0</v>
      </c>
      <c r="C111" s="17">
        <f>IFERROR(VLOOKUP(A111,'Codici ATECO 2022'!A$2:C1240,3),0)</f>
        <v>0</v>
      </c>
      <c r="D111" s="5">
        <f t="shared" si="0"/>
        <v>0</v>
      </c>
    </row>
    <row r="112" spans="2:4">
      <c r="B112" s="5">
        <f>SUMIF(Pagamenti!E$2:E1240,A112,Pagamenti!D$2:D1240)</f>
        <v>0</v>
      </c>
      <c r="C112" s="17">
        <f>IFERROR(VLOOKUP(A112,'Codici ATECO 2022'!A$2:C1240,3),0)</f>
        <v>0</v>
      </c>
      <c r="D112" s="5">
        <f t="shared" si="0"/>
        <v>0</v>
      </c>
    </row>
    <row r="113" spans="2:4">
      <c r="B113" s="5">
        <f>SUMIF(Pagamenti!E$2:E1240,A113,Pagamenti!D$2:D1240)</f>
        <v>0</v>
      </c>
      <c r="C113" s="17">
        <f>IFERROR(VLOOKUP(A113,'Codici ATECO 2022'!A$2:C1240,3),0)</f>
        <v>0</v>
      </c>
      <c r="D113" s="5">
        <f t="shared" si="0"/>
        <v>0</v>
      </c>
    </row>
    <row r="114" spans="2:4">
      <c r="B114" s="5">
        <f>SUMIF(Pagamenti!E$2:E1240,A114,Pagamenti!D$2:D1240)</f>
        <v>0</v>
      </c>
      <c r="C114" s="17">
        <f>IFERROR(VLOOKUP(A114,'Codici ATECO 2022'!A$2:C1240,3),0)</f>
        <v>0</v>
      </c>
      <c r="D114" s="5">
        <f t="shared" si="0"/>
        <v>0</v>
      </c>
    </row>
    <row r="115" spans="2:4">
      <c r="B115" s="5">
        <f>SUMIF(Pagamenti!E$2:E1240,A115,Pagamenti!D$2:D1240)</f>
        <v>0</v>
      </c>
      <c r="C115" s="17">
        <f>IFERROR(VLOOKUP(A115,'Codici ATECO 2022'!A$2:C1240,3),0)</f>
        <v>0</v>
      </c>
      <c r="D115" s="5">
        <f t="shared" si="0"/>
        <v>0</v>
      </c>
    </row>
    <row r="116" spans="2:4">
      <c r="B116" s="5">
        <f>SUMIF(Pagamenti!E$2:E1240,A116,Pagamenti!D$2:D1240)</f>
        <v>0</v>
      </c>
      <c r="C116" s="17">
        <f>IFERROR(VLOOKUP(A116,'Codici ATECO 2022'!A$2:C1240,3),0)</f>
        <v>0</v>
      </c>
      <c r="D116" s="5">
        <f t="shared" si="0"/>
        <v>0</v>
      </c>
    </row>
    <row r="117" spans="2:4">
      <c r="B117" s="5">
        <f>SUMIF(Pagamenti!E$2:E1240,A117,Pagamenti!D$2:D1240)</f>
        <v>0</v>
      </c>
      <c r="C117" s="17">
        <f>IFERROR(VLOOKUP(A117,'Codici ATECO 2022'!A$2:C1240,3),0)</f>
        <v>0</v>
      </c>
      <c r="D117" s="5">
        <f t="shared" si="0"/>
        <v>0</v>
      </c>
    </row>
    <row r="118" spans="2:4">
      <c r="B118" s="5">
        <f>SUMIF(Pagamenti!E$2:E1240,A118,Pagamenti!D$2:D1240)</f>
        <v>0</v>
      </c>
      <c r="C118" s="17">
        <f>IFERROR(VLOOKUP(A118,'Codici ATECO 2022'!A$2:C1240,3),0)</f>
        <v>0</v>
      </c>
      <c r="D118" s="5">
        <f t="shared" si="0"/>
        <v>0</v>
      </c>
    </row>
    <row r="119" spans="2:4">
      <c r="B119" s="5">
        <f>SUMIF(Pagamenti!E$2:E1240,A119,Pagamenti!D$2:D1240)</f>
        <v>0</v>
      </c>
      <c r="C119" s="17">
        <f>IFERROR(VLOOKUP(A119,'Codici ATECO 2022'!A$2:C1240,3),0)</f>
        <v>0</v>
      </c>
      <c r="D119" s="5">
        <f t="shared" si="0"/>
        <v>0</v>
      </c>
    </row>
    <row r="120" spans="2:4">
      <c r="B120" s="5">
        <f>SUMIF(Pagamenti!E$2:E1240,A120,Pagamenti!D$2:D1240)</f>
        <v>0</v>
      </c>
      <c r="C120" s="17">
        <f>IFERROR(VLOOKUP(A120,'Codici ATECO 2022'!A$2:C1240,3),0)</f>
        <v>0</v>
      </c>
      <c r="D120" s="5">
        <f t="shared" si="0"/>
        <v>0</v>
      </c>
    </row>
    <row r="121" spans="2:4">
      <c r="B121" s="5">
        <f>SUMIF(Pagamenti!E$2:E1240,A121,Pagamenti!D$2:D1240)</f>
        <v>0</v>
      </c>
      <c r="C121" s="17">
        <f>IFERROR(VLOOKUP(A121,'Codici ATECO 2022'!A$2:C1240,3),0)</f>
        <v>0</v>
      </c>
      <c r="D121" s="5">
        <f t="shared" si="0"/>
        <v>0</v>
      </c>
    </row>
    <row r="122" spans="2:4">
      <c r="B122" s="5">
        <f>SUMIF(Pagamenti!E$2:E1240,A122,Pagamenti!D$2:D1240)</f>
        <v>0</v>
      </c>
      <c r="C122" s="17">
        <f>IFERROR(VLOOKUP(A122,'Codici ATECO 2022'!A$2:C1240,3),0)</f>
        <v>0</v>
      </c>
      <c r="D122" s="5">
        <f t="shared" si="0"/>
        <v>0</v>
      </c>
    </row>
    <row r="123" spans="2:4">
      <c r="B123" s="5">
        <f>SUMIF(Pagamenti!E$2:E1240,A123,Pagamenti!D$2:D1240)</f>
        <v>0</v>
      </c>
      <c r="C123" s="17">
        <f>IFERROR(VLOOKUP(A123,'Codici ATECO 2022'!A$2:C1240,3),0)</f>
        <v>0</v>
      </c>
      <c r="D123" s="5">
        <f t="shared" si="0"/>
        <v>0</v>
      </c>
    </row>
    <row r="124" spans="2:4">
      <c r="B124" s="5">
        <f>SUMIF(Pagamenti!E$2:E1240,A124,Pagamenti!D$2:D1240)</f>
        <v>0</v>
      </c>
      <c r="C124" s="17">
        <f>IFERROR(VLOOKUP(A124,'Codici ATECO 2022'!A$2:C1240,3),0)</f>
        <v>0</v>
      </c>
      <c r="D124" s="5">
        <f t="shared" si="0"/>
        <v>0</v>
      </c>
    </row>
    <row r="125" spans="2:4">
      <c r="B125" s="5">
        <f>SUMIF(Pagamenti!E$2:E1240,A125,Pagamenti!D$2:D1240)</f>
        <v>0</v>
      </c>
      <c r="C125" s="17">
        <f>IFERROR(VLOOKUP(A125,'Codici ATECO 2022'!A$2:C1240,3),0)</f>
        <v>0</v>
      </c>
      <c r="D125" s="5">
        <f t="shared" si="0"/>
        <v>0</v>
      </c>
    </row>
    <row r="126" spans="2:4">
      <c r="B126" s="5">
        <f>SUMIF(Pagamenti!E$2:E1240,A126,Pagamenti!D$2:D1240)</f>
        <v>0</v>
      </c>
      <c r="C126" s="17">
        <f>IFERROR(VLOOKUP(A126,'Codici ATECO 2022'!A$2:C1240,3),0)</f>
        <v>0</v>
      </c>
      <c r="D126" s="5">
        <f t="shared" si="0"/>
        <v>0</v>
      </c>
    </row>
    <row r="127" spans="2:4">
      <c r="B127" s="5">
        <f>SUMIF(Pagamenti!E$2:E1240,A127,Pagamenti!D$2:D1240)</f>
        <v>0</v>
      </c>
      <c r="C127" s="17">
        <f>IFERROR(VLOOKUP(A127,'Codici ATECO 2022'!A$2:C1240,3),0)</f>
        <v>0</v>
      </c>
      <c r="D127" s="5">
        <f t="shared" si="0"/>
        <v>0</v>
      </c>
    </row>
    <row r="128" spans="2:4">
      <c r="B128" s="5">
        <f>SUMIF(Pagamenti!E$2:E1240,A128,Pagamenti!D$2:D1240)</f>
        <v>0</v>
      </c>
      <c r="C128" s="17">
        <f>IFERROR(VLOOKUP(A128,'Codici ATECO 2022'!A$2:C1240,3),0)</f>
        <v>0</v>
      </c>
      <c r="D128" s="5">
        <f t="shared" si="0"/>
        <v>0</v>
      </c>
    </row>
    <row r="129" spans="2:4">
      <c r="B129" s="5">
        <f>SUMIF(Pagamenti!E$2:E1240,A129,Pagamenti!D$2:D1240)</f>
        <v>0</v>
      </c>
      <c r="C129" s="17">
        <f>IFERROR(VLOOKUP(A129,'Codici ATECO 2022'!A$2:C1240,3),0)</f>
        <v>0</v>
      </c>
      <c r="D129" s="5">
        <f t="shared" si="0"/>
        <v>0</v>
      </c>
    </row>
    <row r="130" spans="2:4">
      <c r="B130" s="5">
        <f>SUMIF(Pagamenti!E$2:E1240,A130,Pagamenti!D$2:D1240)</f>
        <v>0</v>
      </c>
      <c r="C130" s="17">
        <f>IFERROR(VLOOKUP(A130,'Codici ATECO 2022'!A$2:C1240,3),0)</f>
        <v>0</v>
      </c>
      <c r="D130" s="5">
        <f t="shared" si="0"/>
        <v>0</v>
      </c>
    </row>
    <row r="131" spans="2:4">
      <c r="B131" s="5">
        <f>SUMIF(Pagamenti!E$2:E1240,A131,Pagamenti!D$2:D1240)</f>
        <v>0</v>
      </c>
      <c r="C131" s="17">
        <f>IFERROR(VLOOKUP(A131,'Codici ATECO 2022'!A$2:C1240,3),0)</f>
        <v>0</v>
      </c>
      <c r="D131" s="5">
        <f t="shared" si="0"/>
        <v>0</v>
      </c>
    </row>
    <row r="132" spans="2:4">
      <c r="B132" s="5">
        <f>SUMIF(Pagamenti!E$2:E1240,A132,Pagamenti!D$2:D1240)</f>
        <v>0</v>
      </c>
      <c r="C132" s="17">
        <f>IFERROR(VLOOKUP(A132,'Codici ATECO 2022'!A$2:C1240,3),0)</f>
        <v>0</v>
      </c>
      <c r="D132" s="5">
        <f t="shared" si="0"/>
        <v>0</v>
      </c>
    </row>
    <row r="133" spans="2:4">
      <c r="B133" s="5">
        <f>SUMIF(Pagamenti!E$2:E1240,A133,Pagamenti!D$2:D1240)</f>
        <v>0</v>
      </c>
      <c r="C133" s="17">
        <f>IFERROR(VLOOKUP(A133,'Codici ATECO 2022'!A$2:C1240,3),0)</f>
        <v>0</v>
      </c>
      <c r="D133" s="5">
        <f t="shared" si="0"/>
        <v>0</v>
      </c>
    </row>
    <row r="134" spans="2:4">
      <c r="B134" s="5">
        <f>SUMIF(Pagamenti!E$2:E1240,A134,Pagamenti!D$2:D1240)</f>
        <v>0</v>
      </c>
      <c r="C134" s="17">
        <f>IFERROR(VLOOKUP(A134,'Codici ATECO 2022'!A$2:C1240,3),0)</f>
        <v>0</v>
      </c>
      <c r="D134" s="5">
        <f t="shared" si="0"/>
        <v>0</v>
      </c>
    </row>
    <row r="135" spans="2:4">
      <c r="B135" s="5">
        <f>SUMIF(Pagamenti!E$2:E1240,A135,Pagamenti!D$2:D1240)</f>
        <v>0</v>
      </c>
      <c r="C135" s="17">
        <f>IFERROR(VLOOKUP(A135,'Codici ATECO 2022'!A$2:C1240,3),0)</f>
        <v>0</v>
      </c>
      <c r="D135" s="5">
        <f t="shared" si="0"/>
        <v>0</v>
      </c>
    </row>
    <row r="136" spans="2:4">
      <c r="B136" s="5">
        <f>SUMIF(Pagamenti!E$2:E1240,A136,Pagamenti!D$2:D1240)</f>
        <v>0</v>
      </c>
      <c r="C136" s="17">
        <f>IFERROR(VLOOKUP(A136,'Codici ATECO 2022'!A$2:C1240,3),0)</f>
        <v>0</v>
      </c>
      <c r="D136" s="5">
        <f t="shared" si="0"/>
        <v>0</v>
      </c>
    </row>
    <row r="137" spans="2:4">
      <c r="B137" s="5">
        <f>SUMIF(Pagamenti!E$2:E1240,A137,Pagamenti!D$2:D1240)</f>
        <v>0</v>
      </c>
      <c r="C137" s="17">
        <f>IFERROR(VLOOKUP(A137,'Codici ATECO 2022'!A$2:C1240,3),0)</f>
        <v>0</v>
      </c>
      <c r="D137" s="5">
        <f t="shared" si="0"/>
        <v>0</v>
      </c>
    </row>
    <row r="138" spans="2:4">
      <c r="B138" s="5">
        <f>SUMIF(Pagamenti!E$2:E1240,A138,Pagamenti!D$2:D1240)</f>
        <v>0</v>
      </c>
      <c r="C138" s="17">
        <f>IFERROR(VLOOKUP(A138,'Codici ATECO 2022'!A$2:C1240,3),0)</f>
        <v>0</v>
      </c>
      <c r="D138" s="5">
        <f t="shared" si="0"/>
        <v>0</v>
      </c>
    </row>
    <row r="139" spans="2:4">
      <c r="B139" s="5">
        <f>SUMIF(Pagamenti!E$2:E1240,A139,Pagamenti!D$2:D1240)</f>
        <v>0</v>
      </c>
      <c r="C139" s="17">
        <f>IFERROR(VLOOKUP(A139,'Codici ATECO 2022'!A$2:C1240,3),0)</f>
        <v>0</v>
      </c>
      <c r="D139" s="5">
        <f t="shared" si="0"/>
        <v>0</v>
      </c>
    </row>
    <row r="140" spans="2:4">
      <c r="B140" s="5">
        <f>SUMIF(Pagamenti!E$2:E1240,A140,Pagamenti!D$2:D1240)</f>
        <v>0</v>
      </c>
      <c r="C140" s="17">
        <f>IFERROR(VLOOKUP(A140,'Codici ATECO 2022'!A$2:C1240,3),0)</f>
        <v>0</v>
      </c>
      <c r="D140" s="5">
        <f t="shared" si="0"/>
        <v>0</v>
      </c>
    </row>
    <row r="141" spans="2:4">
      <c r="B141" s="5">
        <f>SUMIF(Pagamenti!E$2:E1240,A141,Pagamenti!D$2:D1240)</f>
        <v>0</v>
      </c>
      <c r="C141" s="17">
        <f>IFERROR(VLOOKUP(A141,'Codici ATECO 2022'!A$2:C1240,3),0)</f>
        <v>0</v>
      </c>
      <c r="D141" s="5">
        <f t="shared" si="0"/>
        <v>0</v>
      </c>
    </row>
    <row r="142" spans="2:4">
      <c r="B142" s="5">
        <f>SUMIF(Pagamenti!E$2:E1240,A142,Pagamenti!D$2:D1240)</f>
        <v>0</v>
      </c>
      <c r="C142" s="17">
        <f>IFERROR(VLOOKUP(A142,'Codici ATECO 2022'!A$2:C1240,3),0)</f>
        <v>0</v>
      </c>
      <c r="D142" s="5">
        <f t="shared" si="0"/>
        <v>0</v>
      </c>
    </row>
    <row r="143" spans="2:4">
      <c r="B143" s="5">
        <f>SUMIF(Pagamenti!E$2:E1240,A143,Pagamenti!D$2:D1240)</f>
        <v>0</v>
      </c>
      <c r="C143" s="17">
        <f>IFERROR(VLOOKUP(A143,'Codici ATECO 2022'!A$2:C1240,3),0)</f>
        <v>0</v>
      </c>
      <c r="D143" s="5">
        <f t="shared" si="0"/>
        <v>0</v>
      </c>
    </row>
    <row r="144" spans="2:4">
      <c r="B144" s="5">
        <f>SUMIF(Pagamenti!E$2:E1240,A144,Pagamenti!D$2:D1240)</f>
        <v>0</v>
      </c>
      <c r="C144" s="17">
        <f>IFERROR(VLOOKUP(A144,'Codici ATECO 2022'!A$2:C1240,3),0)</f>
        <v>0</v>
      </c>
      <c r="D144" s="5">
        <f t="shared" si="0"/>
        <v>0</v>
      </c>
    </row>
    <row r="145" spans="2:4">
      <c r="B145" s="5">
        <f>SUMIF(Pagamenti!E$2:E1240,A145,Pagamenti!D$2:D1240)</f>
        <v>0</v>
      </c>
      <c r="C145" s="17">
        <f>IFERROR(VLOOKUP(A145,'Codici ATECO 2022'!A$2:C1240,3),0)</f>
        <v>0</v>
      </c>
      <c r="D145" s="5">
        <f t="shared" si="0"/>
        <v>0</v>
      </c>
    </row>
    <row r="146" spans="2:4">
      <c r="B146" s="5">
        <f>SUMIF(Pagamenti!E$2:E1240,A146,Pagamenti!D$2:D1240)</f>
        <v>0</v>
      </c>
      <c r="C146" s="17">
        <f>IFERROR(VLOOKUP(A146,'Codici ATECO 2022'!A$2:C1240,3),0)</f>
        <v>0</v>
      </c>
      <c r="D146" s="5">
        <f t="shared" si="0"/>
        <v>0</v>
      </c>
    </row>
    <row r="147" spans="2:4">
      <c r="B147" s="5">
        <f>SUMIF(Pagamenti!E$2:E1240,A147,Pagamenti!D$2:D1240)</f>
        <v>0</v>
      </c>
      <c r="C147" s="17">
        <f>IFERROR(VLOOKUP(A147,'Codici ATECO 2022'!A$2:C1240,3),0)</f>
        <v>0</v>
      </c>
      <c r="D147" s="5">
        <f t="shared" si="0"/>
        <v>0</v>
      </c>
    </row>
    <row r="148" spans="2:4">
      <c r="B148" s="5">
        <f>SUMIF(Pagamenti!E$2:E1240,A148,Pagamenti!D$2:D1240)</f>
        <v>0</v>
      </c>
      <c r="C148" s="17">
        <f>IFERROR(VLOOKUP(A148,'Codici ATECO 2022'!A$2:C1240,3),0)</f>
        <v>0</v>
      </c>
      <c r="D148" s="5">
        <f t="shared" si="0"/>
        <v>0</v>
      </c>
    </row>
    <row r="149" spans="2:4">
      <c r="B149" s="5">
        <f>SUMIF(Pagamenti!E$2:E1240,A149,Pagamenti!D$2:D1240)</f>
        <v>0</v>
      </c>
      <c r="C149" s="17">
        <f>IFERROR(VLOOKUP(A149,'Codici ATECO 2022'!A$2:C1240,3),0)</f>
        <v>0</v>
      </c>
      <c r="D149" s="5">
        <f t="shared" si="0"/>
        <v>0</v>
      </c>
    </row>
    <row r="150" spans="2:4">
      <c r="B150" s="5">
        <f>SUMIF(Pagamenti!E$2:E1240,A150,Pagamenti!D$2:D1240)</f>
        <v>0</v>
      </c>
      <c r="C150" s="17">
        <f>IFERROR(VLOOKUP(A150,'Codici ATECO 2022'!A$2:C1240,3),0)</f>
        <v>0</v>
      </c>
      <c r="D150" s="5">
        <f t="shared" si="0"/>
        <v>0</v>
      </c>
    </row>
    <row r="151" spans="2:4">
      <c r="B151" s="5">
        <f>SUMIF(Pagamenti!E$2:E1240,A151,Pagamenti!D$2:D1240)</f>
        <v>0</v>
      </c>
      <c r="C151" s="17">
        <f>IFERROR(VLOOKUP(A151,'Codici ATECO 2022'!A$2:C1240,3),0)</f>
        <v>0</v>
      </c>
      <c r="D151" s="5">
        <f t="shared" si="0"/>
        <v>0</v>
      </c>
    </row>
    <row r="152" spans="2:4">
      <c r="B152" s="5">
        <f>SUMIF(Pagamenti!E$2:E1240,A152,Pagamenti!D$2:D1240)</f>
        <v>0</v>
      </c>
      <c r="C152" s="17">
        <f>IFERROR(VLOOKUP(A152,'Codici ATECO 2022'!A$2:C1240,3),0)</f>
        <v>0</v>
      </c>
      <c r="D152" s="5">
        <f t="shared" si="0"/>
        <v>0</v>
      </c>
    </row>
    <row r="153" spans="2:4">
      <c r="B153" s="5">
        <f>SUMIF(Pagamenti!E$2:E1240,A153,Pagamenti!D$2:D1240)</f>
        <v>0</v>
      </c>
      <c r="C153" s="17">
        <f>IFERROR(VLOOKUP(A153,'Codici ATECO 2022'!A$2:C1240,3),0)</f>
        <v>0</v>
      </c>
      <c r="D153" s="5">
        <f t="shared" si="0"/>
        <v>0</v>
      </c>
    </row>
    <row r="154" spans="2:4">
      <c r="B154" s="5">
        <f>SUMIF(Pagamenti!E$2:E1240,A154,Pagamenti!D$2:D1240)</f>
        <v>0</v>
      </c>
      <c r="C154" s="17">
        <f>IFERROR(VLOOKUP(A154,'Codici ATECO 2022'!A$2:C1240,3),0)</f>
        <v>0</v>
      </c>
      <c r="D154" s="5">
        <f t="shared" si="0"/>
        <v>0</v>
      </c>
    </row>
    <row r="155" spans="2:4">
      <c r="B155" s="5">
        <f>SUMIF(Pagamenti!E$2:E1240,A155,Pagamenti!D$2:D1240)</f>
        <v>0</v>
      </c>
      <c r="C155" s="17">
        <f>IFERROR(VLOOKUP(A155,'Codici ATECO 2022'!A$2:C1240,3),0)</f>
        <v>0</v>
      </c>
      <c r="D155" s="5">
        <f t="shared" si="0"/>
        <v>0</v>
      </c>
    </row>
    <row r="156" spans="2:4">
      <c r="B156" s="5">
        <f>SUMIF(Pagamenti!E$2:E1240,A156,Pagamenti!D$2:D1240)</f>
        <v>0</v>
      </c>
      <c r="C156" s="17">
        <f>IFERROR(VLOOKUP(A156,'Codici ATECO 2022'!A$2:C1240,3),0)</f>
        <v>0</v>
      </c>
      <c r="D156" s="5">
        <f t="shared" si="0"/>
        <v>0</v>
      </c>
    </row>
    <row r="157" spans="2:4">
      <c r="B157" s="5">
        <f>SUMIF(Pagamenti!E$2:E1240,A157,Pagamenti!D$2:D1240)</f>
        <v>0</v>
      </c>
      <c r="C157" s="17">
        <f>IFERROR(VLOOKUP(A157,'Codici ATECO 2022'!A$2:C1240,3),0)</f>
        <v>0</v>
      </c>
      <c r="D157" s="5">
        <f t="shared" si="0"/>
        <v>0</v>
      </c>
    </row>
    <row r="158" spans="2:4">
      <c r="B158" s="5">
        <f>SUMIF(Pagamenti!E$2:E1240,A158,Pagamenti!D$2:D1240)</f>
        <v>0</v>
      </c>
      <c r="C158" s="17">
        <f>IFERROR(VLOOKUP(A158,'Codici ATECO 2022'!A$2:C1240,3),0)</f>
        <v>0</v>
      </c>
      <c r="D158" s="5">
        <f t="shared" si="0"/>
        <v>0</v>
      </c>
    </row>
    <row r="159" spans="2:4">
      <c r="B159" s="5">
        <f>SUMIF(Pagamenti!E$2:E1240,A159,Pagamenti!D$2:D1240)</f>
        <v>0</v>
      </c>
      <c r="C159" s="17">
        <f>IFERROR(VLOOKUP(A159,'Codici ATECO 2022'!A$2:C1240,3),0)</f>
        <v>0</v>
      </c>
      <c r="D159" s="5">
        <f t="shared" si="0"/>
        <v>0</v>
      </c>
    </row>
    <row r="160" spans="2:4">
      <c r="B160" s="5">
        <f>SUMIF(Pagamenti!E$2:E1240,A160,Pagamenti!D$2:D1240)</f>
        <v>0</v>
      </c>
      <c r="C160" s="17">
        <f>IFERROR(VLOOKUP(A160,'Codici ATECO 2022'!A$2:C1240,3),0)</f>
        <v>0</v>
      </c>
      <c r="D160" s="5">
        <f t="shared" si="0"/>
        <v>0</v>
      </c>
    </row>
    <row r="161" spans="2:4">
      <c r="B161" s="5">
        <f>SUMIF(Pagamenti!E$2:E1240,A161,Pagamenti!D$2:D1240)</f>
        <v>0</v>
      </c>
      <c r="C161" s="17">
        <f>IFERROR(VLOOKUP(A161,'Codici ATECO 2022'!A$2:C1240,3),0)</f>
        <v>0</v>
      </c>
      <c r="D161" s="5">
        <f t="shared" si="0"/>
        <v>0</v>
      </c>
    </row>
    <row r="162" spans="2:4">
      <c r="B162" s="5">
        <f>SUMIF(Pagamenti!E$2:E1240,A162,Pagamenti!D$2:D1240)</f>
        <v>0</v>
      </c>
      <c r="C162" s="17">
        <f>IFERROR(VLOOKUP(A162,'Codici ATECO 2022'!A$2:C1240,3),0)</f>
        <v>0</v>
      </c>
      <c r="D162" s="5">
        <f t="shared" si="0"/>
        <v>0</v>
      </c>
    </row>
    <row r="163" spans="2:4">
      <c r="B163" s="5">
        <f>SUMIF(Pagamenti!E$2:E1240,A163,Pagamenti!D$2:D1240)</f>
        <v>0</v>
      </c>
      <c r="C163" s="17">
        <f>IFERROR(VLOOKUP(A163,'Codici ATECO 2022'!A$2:C1240,3),0)</f>
        <v>0</v>
      </c>
      <c r="D163" s="5">
        <f t="shared" si="0"/>
        <v>0</v>
      </c>
    </row>
    <row r="164" spans="2:4">
      <c r="B164" s="5">
        <f>SUMIF(Pagamenti!E$2:E1240,A164,Pagamenti!D$2:D1240)</f>
        <v>0</v>
      </c>
      <c r="C164" s="17">
        <f>IFERROR(VLOOKUP(A164,'Codici ATECO 2022'!A$2:C1240,3),0)</f>
        <v>0</v>
      </c>
      <c r="D164" s="5">
        <f t="shared" si="0"/>
        <v>0</v>
      </c>
    </row>
    <row r="165" spans="2:4">
      <c r="B165" s="5">
        <f>SUMIF(Pagamenti!E$2:E1240,A165,Pagamenti!D$2:D1240)</f>
        <v>0</v>
      </c>
      <c r="C165" s="17">
        <f>IFERROR(VLOOKUP(A165,'Codici ATECO 2022'!A$2:C1240,3),0)</f>
        <v>0</v>
      </c>
      <c r="D165" s="5">
        <f t="shared" si="0"/>
        <v>0</v>
      </c>
    </row>
    <row r="166" spans="2:4">
      <c r="B166" s="5">
        <f>SUMIF(Pagamenti!E$2:E1240,A166,Pagamenti!D$2:D1240)</f>
        <v>0</v>
      </c>
      <c r="C166" s="17">
        <f>IFERROR(VLOOKUP(A166,'Codici ATECO 2022'!A$2:C1240,3),0)</f>
        <v>0</v>
      </c>
      <c r="D166" s="5">
        <f t="shared" si="0"/>
        <v>0</v>
      </c>
    </row>
    <row r="167" spans="2:4">
      <c r="B167" s="5">
        <f>SUMIF(Pagamenti!E$2:E1240,A167,Pagamenti!D$2:D1240)</f>
        <v>0</v>
      </c>
      <c r="C167" s="17">
        <f>IFERROR(VLOOKUP(A167,'Codici ATECO 2022'!A$2:C1240,3),0)</f>
        <v>0</v>
      </c>
      <c r="D167" s="5">
        <f t="shared" si="0"/>
        <v>0</v>
      </c>
    </row>
    <row r="168" spans="2:4">
      <c r="B168" s="5">
        <f>SUMIF(Pagamenti!E$2:E1240,A168,Pagamenti!D$2:D1240)</f>
        <v>0</v>
      </c>
      <c r="C168" s="17">
        <f>IFERROR(VLOOKUP(A168,'Codici ATECO 2022'!A$2:C1240,3),0)</f>
        <v>0</v>
      </c>
      <c r="D168" s="5">
        <f t="shared" si="0"/>
        <v>0</v>
      </c>
    </row>
    <row r="169" spans="2:4">
      <c r="B169" s="5">
        <f>SUMIF(Pagamenti!E$2:E1240,A169,Pagamenti!D$2:D1240)</f>
        <v>0</v>
      </c>
      <c r="C169" s="17">
        <f>IFERROR(VLOOKUP(A169,'Codici ATECO 2022'!A$2:C1240,3),0)</f>
        <v>0</v>
      </c>
      <c r="D169" s="5">
        <f t="shared" si="0"/>
        <v>0</v>
      </c>
    </row>
    <row r="170" spans="2:4">
      <c r="B170" s="5">
        <f>SUMIF(Pagamenti!E$2:E1240,A170,Pagamenti!D$2:D1240)</f>
        <v>0</v>
      </c>
      <c r="C170" s="17">
        <f>IFERROR(VLOOKUP(A170,'Codici ATECO 2022'!A$2:C1240,3),0)</f>
        <v>0</v>
      </c>
      <c r="D170" s="5">
        <f t="shared" si="0"/>
        <v>0</v>
      </c>
    </row>
    <row r="171" spans="2:4">
      <c r="B171" s="5">
        <f>SUMIF(Pagamenti!E$2:E1240,A171,Pagamenti!D$2:D1240)</f>
        <v>0</v>
      </c>
      <c r="C171" s="17">
        <f>IFERROR(VLOOKUP(A171,'Codici ATECO 2022'!A$2:C1240,3),0)</f>
        <v>0</v>
      </c>
      <c r="D171" s="5">
        <f t="shared" si="0"/>
        <v>0</v>
      </c>
    </row>
    <row r="172" spans="2:4">
      <c r="B172" s="5">
        <f>SUMIF(Pagamenti!E$2:E1240,A172,Pagamenti!D$2:D1240)</f>
        <v>0</v>
      </c>
      <c r="C172" s="17">
        <f>IFERROR(VLOOKUP(A172,'Codici ATECO 2022'!A$2:C1240,3),0)</f>
        <v>0</v>
      </c>
      <c r="D172" s="5">
        <f t="shared" si="0"/>
        <v>0</v>
      </c>
    </row>
    <row r="173" spans="2:4">
      <c r="B173" s="5">
        <f>SUMIF(Pagamenti!E$2:E1240,A173,Pagamenti!D$2:D1240)</f>
        <v>0</v>
      </c>
      <c r="C173" s="17">
        <f>IFERROR(VLOOKUP(A173,'Codici ATECO 2022'!A$2:C1240,3),0)</f>
        <v>0</v>
      </c>
      <c r="D173" s="5">
        <f t="shared" si="0"/>
        <v>0</v>
      </c>
    </row>
    <row r="174" spans="2:4">
      <c r="B174" s="5">
        <f>SUMIF(Pagamenti!E$2:E1240,A174,Pagamenti!D$2:D1240)</f>
        <v>0</v>
      </c>
      <c r="C174" s="17">
        <f>IFERROR(VLOOKUP(A174,'Codici ATECO 2022'!A$2:C1240,3),0)</f>
        <v>0</v>
      </c>
      <c r="D174" s="5">
        <f t="shared" si="0"/>
        <v>0</v>
      </c>
    </row>
    <row r="175" spans="2:4">
      <c r="B175" s="5">
        <f>SUMIF(Pagamenti!E$2:E1240,A175,Pagamenti!D$2:D1240)</f>
        <v>0</v>
      </c>
      <c r="C175" s="17">
        <f>IFERROR(VLOOKUP(A175,'Codici ATECO 2022'!A$2:C1240,3),0)</f>
        <v>0</v>
      </c>
      <c r="D175" s="5">
        <f t="shared" si="0"/>
        <v>0</v>
      </c>
    </row>
    <row r="176" spans="2:4">
      <c r="B176" s="5">
        <f>SUMIF(Pagamenti!E$2:E1240,A176,Pagamenti!D$2:D1240)</f>
        <v>0</v>
      </c>
      <c r="C176" s="17">
        <f>IFERROR(VLOOKUP(A176,'Codici ATECO 2022'!A$2:C1240,3),0)</f>
        <v>0</v>
      </c>
      <c r="D176" s="5">
        <f t="shared" si="0"/>
        <v>0</v>
      </c>
    </row>
    <row r="177" spans="2:4">
      <c r="B177" s="5">
        <f>SUMIF(Pagamenti!E$2:E1240,A177,Pagamenti!D$2:D1240)</f>
        <v>0</v>
      </c>
      <c r="C177" s="17">
        <f>IFERROR(VLOOKUP(A177,'Codici ATECO 2022'!A$2:C1240,3),0)</f>
        <v>0</v>
      </c>
      <c r="D177" s="5">
        <f t="shared" si="0"/>
        <v>0</v>
      </c>
    </row>
    <row r="178" spans="2:4">
      <c r="B178" s="5">
        <f>SUMIF(Pagamenti!E$2:E1240,A178,Pagamenti!D$2:D1240)</f>
        <v>0</v>
      </c>
      <c r="C178" s="17">
        <f>IFERROR(VLOOKUP(A178,'Codici ATECO 2022'!A$2:C1240,3),0)</f>
        <v>0</v>
      </c>
      <c r="D178" s="5">
        <f t="shared" si="0"/>
        <v>0</v>
      </c>
    </row>
    <row r="179" spans="2:4">
      <c r="B179" s="5">
        <f>SUMIF(Pagamenti!E$2:E1240,A179,Pagamenti!D$2:D1240)</f>
        <v>0</v>
      </c>
      <c r="C179" s="17">
        <f>IFERROR(VLOOKUP(A179,'Codici ATECO 2022'!A$2:C1240,3),0)</f>
        <v>0</v>
      </c>
      <c r="D179" s="5">
        <f t="shared" si="0"/>
        <v>0</v>
      </c>
    </row>
    <row r="180" spans="2:4">
      <c r="B180" s="5">
        <f>SUMIF(Pagamenti!E$2:E1240,A180,Pagamenti!D$2:D1240)</f>
        <v>0</v>
      </c>
      <c r="C180" s="17">
        <f>IFERROR(VLOOKUP(A180,'Codici ATECO 2022'!A$2:C1240,3),0)</f>
        <v>0</v>
      </c>
      <c r="D180" s="5">
        <f t="shared" si="0"/>
        <v>0</v>
      </c>
    </row>
    <row r="181" spans="2:4">
      <c r="B181" s="5">
        <f>SUMIF(Pagamenti!E$2:E1240,A181,Pagamenti!D$2:D1240)</f>
        <v>0</v>
      </c>
      <c r="C181" s="17">
        <f>IFERROR(VLOOKUP(A181,'Codici ATECO 2022'!A$2:C1240,3),0)</f>
        <v>0</v>
      </c>
      <c r="D181" s="5">
        <f t="shared" si="0"/>
        <v>0</v>
      </c>
    </row>
    <row r="182" spans="2:4">
      <c r="B182" s="5">
        <f>SUMIF(Pagamenti!E$2:E1240,A182,Pagamenti!D$2:D1240)</f>
        <v>0</v>
      </c>
      <c r="C182" s="17">
        <f>IFERROR(VLOOKUP(A182,'Codici ATECO 2022'!A$2:C1240,3),0)</f>
        <v>0</v>
      </c>
      <c r="D182" s="5">
        <f t="shared" si="0"/>
        <v>0</v>
      </c>
    </row>
    <row r="183" spans="2:4">
      <c r="B183" s="5">
        <f>SUMIF(Pagamenti!E$2:E1240,A183,Pagamenti!D$2:D1240)</f>
        <v>0</v>
      </c>
      <c r="C183" s="17">
        <f>IFERROR(VLOOKUP(A183,'Codici ATECO 2022'!A$2:C1240,3),0)</f>
        <v>0</v>
      </c>
      <c r="D183" s="5">
        <f t="shared" si="0"/>
        <v>0</v>
      </c>
    </row>
    <row r="184" spans="2:4">
      <c r="B184" s="5">
        <f>SUMIF(Pagamenti!E$2:E1240,A184,Pagamenti!D$2:D1240)</f>
        <v>0</v>
      </c>
      <c r="C184" s="17">
        <f>IFERROR(VLOOKUP(A184,'Codici ATECO 2022'!A$2:C1240,3),0)</f>
        <v>0</v>
      </c>
      <c r="D184" s="5">
        <f t="shared" si="0"/>
        <v>0</v>
      </c>
    </row>
    <row r="185" spans="2:4">
      <c r="B185" s="5">
        <f>SUMIF(Pagamenti!E$2:E1240,A185,Pagamenti!D$2:D1240)</f>
        <v>0</v>
      </c>
      <c r="C185" s="17">
        <f>IFERROR(VLOOKUP(A185,'Codici ATECO 2022'!A$2:C1240,3),0)</f>
        <v>0</v>
      </c>
      <c r="D185" s="5">
        <f t="shared" si="0"/>
        <v>0</v>
      </c>
    </row>
    <row r="186" spans="2:4">
      <c r="B186" s="5">
        <f>SUMIF(Pagamenti!E$2:E1240,A186,Pagamenti!D$2:D1240)</f>
        <v>0</v>
      </c>
      <c r="C186" s="17">
        <f>IFERROR(VLOOKUP(A186,'Codici ATECO 2022'!A$2:C1240,3),0)</f>
        <v>0</v>
      </c>
      <c r="D186" s="5">
        <f t="shared" si="0"/>
        <v>0</v>
      </c>
    </row>
    <row r="187" spans="2:4">
      <c r="B187" s="5">
        <f>SUMIF(Pagamenti!E$2:E1240,A187,Pagamenti!D$2:D1240)</f>
        <v>0</v>
      </c>
      <c r="C187" s="17">
        <f>IFERROR(VLOOKUP(A187,'Codici ATECO 2022'!A$2:C1240,3),0)</f>
        <v>0</v>
      </c>
      <c r="D187" s="5">
        <f t="shared" si="0"/>
        <v>0</v>
      </c>
    </row>
    <row r="188" spans="2:4">
      <c r="B188" s="5">
        <f>SUMIF(Pagamenti!E$2:E1240,A188,Pagamenti!D$2:D1240)</f>
        <v>0</v>
      </c>
      <c r="C188" s="17">
        <f>IFERROR(VLOOKUP(A188,'Codici ATECO 2022'!A$2:C1240,3),0)</f>
        <v>0</v>
      </c>
      <c r="D188" s="5">
        <f t="shared" si="0"/>
        <v>0</v>
      </c>
    </row>
    <row r="189" spans="2:4">
      <c r="B189" s="5">
        <f>SUMIF(Pagamenti!E$2:E1240,A189,Pagamenti!D$2:D1240)</f>
        <v>0</v>
      </c>
      <c r="C189" s="17">
        <f>IFERROR(VLOOKUP(A189,'Codici ATECO 2022'!A$2:C1240,3),0)</f>
        <v>0</v>
      </c>
      <c r="D189" s="5">
        <f t="shared" si="0"/>
        <v>0</v>
      </c>
    </row>
    <row r="190" spans="2:4">
      <c r="B190" s="5">
        <f>SUMIF(Pagamenti!E$2:E1240,A190,Pagamenti!D$2:D1240)</f>
        <v>0</v>
      </c>
      <c r="C190" s="17">
        <f>IFERROR(VLOOKUP(A190,'Codici ATECO 2022'!A$2:C1240,3),0)</f>
        <v>0</v>
      </c>
      <c r="D190" s="5">
        <f t="shared" si="0"/>
        <v>0</v>
      </c>
    </row>
    <row r="191" spans="2:4">
      <c r="B191" s="5">
        <f>SUMIF(Pagamenti!E$2:E1240,A191,Pagamenti!D$2:D1240)</f>
        <v>0</v>
      </c>
      <c r="C191" s="17">
        <f>IFERROR(VLOOKUP(A191,'Codici ATECO 2022'!A$2:C1240,3),0)</f>
        <v>0</v>
      </c>
      <c r="D191" s="5">
        <f t="shared" si="0"/>
        <v>0</v>
      </c>
    </row>
    <row r="192" spans="2:4">
      <c r="B192" s="5">
        <f>SUMIF(Pagamenti!E$2:E1240,A192,Pagamenti!D$2:D1240)</f>
        <v>0</v>
      </c>
      <c r="C192" s="17">
        <f>IFERROR(VLOOKUP(A192,'Codici ATECO 2022'!A$2:C1240,3),0)</f>
        <v>0</v>
      </c>
      <c r="D192" s="5">
        <f t="shared" si="0"/>
        <v>0</v>
      </c>
    </row>
    <row r="193" spans="2:4">
      <c r="B193" s="5">
        <f>SUMIF(Pagamenti!E$2:E1240,A193,Pagamenti!D$2:D1240)</f>
        <v>0</v>
      </c>
      <c r="C193" s="17">
        <f>IFERROR(VLOOKUP(A193,'Codici ATECO 2022'!A$2:C1240,3),0)</f>
        <v>0</v>
      </c>
      <c r="D193" s="5">
        <f t="shared" si="0"/>
        <v>0</v>
      </c>
    </row>
    <row r="194" spans="2:4">
      <c r="B194" s="5">
        <f>SUMIF(Pagamenti!E$2:E1240,A194,Pagamenti!D$2:D1240)</f>
        <v>0</v>
      </c>
      <c r="C194" s="17">
        <f>IFERROR(VLOOKUP(A194,'Codici ATECO 2022'!A$2:C1240,3),0)</f>
        <v>0</v>
      </c>
      <c r="D194" s="5">
        <f t="shared" si="0"/>
        <v>0</v>
      </c>
    </row>
    <row r="195" spans="2:4">
      <c r="B195" s="5">
        <f>SUMIF(Pagamenti!E$2:E1240,A195,Pagamenti!D$2:D1240)</f>
        <v>0</v>
      </c>
      <c r="C195" s="17">
        <f>IFERROR(VLOOKUP(A195,'Codici ATECO 2022'!A$2:C1240,3),0)</f>
        <v>0</v>
      </c>
      <c r="D195" s="5">
        <f t="shared" si="0"/>
        <v>0</v>
      </c>
    </row>
    <row r="196" spans="2:4">
      <c r="B196" s="5">
        <f>SUMIF(Pagamenti!E$2:E1240,A196,Pagamenti!D$2:D1240)</f>
        <v>0</v>
      </c>
      <c r="C196" s="17">
        <f>IFERROR(VLOOKUP(A196,'Codici ATECO 2022'!A$2:C1240,3),0)</f>
        <v>0</v>
      </c>
      <c r="D196" s="5">
        <f t="shared" si="0"/>
        <v>0</v>
      </c>
    </row>
    <row r="197" spans="2:4">
      <c r="B197" s="5">
        <f>SUMIF(Pagamenti!E$2:E1240,A197,Pagamenti!D$2:D1240)</f>
        <v>0</v>
      </c>
      <c r="C197" s="17">
        <f>IFERROR(VLOOKUP(A197,'Codici ATECO 2022'!A$2:C1240,3),0)</f>
        <v>0</v>
      </c>
      <c r="D197" s="5">
        <f t="shared" si="0"/>
        <v>0</v>
      </c>
    </row>
    <row r="198" spans="2:4">
      <c r="B198" s="5">
        <f>SUMIF(Pagamenti!E$2:E1240,A198,Pagamenti!D$2:D1240)</f>
        <v>0</v>
      </c>
      <c r="C198" s="17">
        <f>IFERROR(VLOOKUP(A198,'Codici ATECO 2022'!A$2:C1240,3),0)</f>
        <v>0</v>
      </c>
      <c r="D198" s="5">
        <f t="shared" si="0"/>
        <v>0</v>
      </c>
    </row>
    <row r="199" spans="2:4">
      <c r="B199" s="5">
        <f>SUMIF(Pagamenti!E$2:E1240,A199,Pagamenti!D$2:D1240)</f>
        <v>0</v>
      </c>
      <c r="C199" s="17">
        <f>IFERROR(VLOOKUP(A199,'Codici ATECO 2022'!A$2:C1240,3),0)</f>
        <v>0</v>
      </c>
      <c r="D199" s="5">
        <f t="shared" si="0"/>
        <v>0</v>
      </c>
    </row>
    <row r="200" spans="2:4">
      <c r="B200" s="5">
        <f>SUMIF(Pagamenti!E$2:E1240,A200,Pagamenti!D$2:D1240)</f>
        <v>0</v>
      </c>
      <c r="C200" s="17">
        <f>IFERROR(VLOOKUP(A200,'Codici ATECO 2022'!A$2:C1240,3),0)</f>
        <v>0</v>
      </c>
      <c r="D200" s="5">
        <f t="shared" si="0"/>
        <v>0</v>
      </c>
    </row>
    <row r="201" spans="2:4">
      <c r="B201" s="5">
        <f>SUMIF(Pagamenti!E$2:E1240,A201,Pagamenti!D$2:D1240)</f>
        <v>0</v>
      </c>
      <c r="C201" s="17">
        <f>IFERROR(VLOOKUP(A201,'Codici ATECO 2022'!A$2:C1240,3),0)</f>
        <v>0</v>
      </c>
      <c r="D201" s="5">
        <f t="shared" si="0"/>
        <v>0</v>
      </c>
    </row>
    <row r="202" spans="2:4">
      <c r="B202" s="5">
        <f>SUMIF(Pagamenti!E$2:E1240,A202,Pagamenti!D$2:D1240)</f>
        <v>0</v>
      </c>
      <c r="C202" s="17">
        <f>IFERROR(VLOOKUP(A202,'Codici ATECO 2022'!A$2:C1240,3),0)</f>
        <v>0</v>
      </c>
      <c r="D202" s="5">
        <f t="shared" si="0"/>
        <v>0</v>
      </c>
    </row>
    <row r="203" spans="2:4">
      <c r="B203" s="5">
        <f>SUMIF(Pagamenti!E$2:E1240,A203,Pagamenti!D$2:D1240)</f>
        <v>0</v>
      </c>
      <c r="C203" s="17">
        <f>IFERROR(VLOOKUP(A203,'Codici ATECO 2022'!A$2:C1240,3),0)</f>
        <v>0</v>
      </c>
      <c r="D203" s="5">
        <f t="shared" si="0"/>
        <v>0</v>
      </c>
    </row>
    <row r="204" spans="2:4">
      <c r="B204" s="5">
        <f>SUMIF(Pagamenti!E$2:E1240,A204,Pagamenti!D$2:D1240)</f>
        <v>0</v>
      </c>
      <c r="C204" s="17">
        <f>IFERROR(VLOOKUP(A204,'Codici ATECO 2022'!A$2:C1240,3),0)</f>
        <v>0</v>
      </c>
      <c r="D204" s="5">
        <f t="shared" si="0"/>
        <v>0</v>
      </c>
    </row>
    <row r="205" spans="2:4">
      <c r="B205" s="5">
        <f>SUMIF(Pagamenti!E$2:E1240,A205,Pagamenti!D$2:D1240)</f>
        <v>0</v>
      </c>
      <c r="C205" s="17">
        <f>IFERROR(VLOOKUP(A205,'Codici ATECO 2022'!A$2:C1240,3),0)</f>
        <v>0</v>
      </c>
      <c r="D205" s="5">
        <f t="shared" si="0"/>
        <v>0</v>
      </c>
    </row>
    <row r="206" spans="2:4">
      <c r="B206" s="5">
        <f>SUMIF(Pagamenti!E$2:E1240,A206,Pagamenti!D$2:D1240)</f>
        <v>0</v>
      </c>
      <c r="C206" s="17">
        <f>IFERROR(VLOOKUP(A206,'Codici ATECO 2022'!A$2:C1240,3),0)</f>
        <v>0</v>
      </c>
      <c r="D206" s="5">
        <f t="shared" si="0"/>
        <v>0</v>
      </c>
    </row>
    <row r="207" spans="2:4">
      <c r="B207" s="5">
        <f>SUMIF(Pagamenti!E$2:E1240,A207,Pagamenti!D$2:D1240)</f>
        <v>0</v>
      </c>
      <c r="C207" s="17">
        <f>IFERROR(VLOOKUP(A207,'Codici ATECO 2022'!A$2:C1240,3),0)</f>
        <v>0</v>
      </c>
      <c r="D207" s="5">
        <f t="shared" si="0"/>
        <v>0</v>
      </c>
    </row>
    <row r="208" spans="2:4">
      <c r="B208" s="5">
        <f>SUMIF(Pagamenti!E$2:E1240,A208,Pagamenti!D$2:D1240)</f>
        <v>0</v>
      </c>
      <c r="C208" s="17">
        <f>IFERROR(VLOOKUP(A208,'Codici ATECO 2022'!A$2:C1240,3),0)</f>
        <v>0</v>
      </c>
      <c r="D208" s="5">
        <f t="shared" si="0"/>
        <v>0</v>
      </c>
    </row>
    <row r="209" spans="2:4">
      <c r="B209" s="5">
        <f>SUMIF(Pagamenti!E$2:E1240,A209,Pagamenti!D$2:D1240)</f>
        <v>0</v>
      </c>
      <c r="C209" s="17">
        <f>IFERROR(VLOOKUP(A209,'Codici ATECO 2022'!A$2:C1240,3),0)</f>
        <v>0</v>
      </c>
      <c r="D209" s="5">
        <f t="shared" si="0"/>
        <v>0</v>
      </c>
    </row>
    <row r="210" spans="2:4">
      <c r="B210" s="5">
        <f>SUMIF(Pagamenti!E$2:E1240,A210,Pagamenti!D$2:D1240)</f>
        <v>0</v>
      </c>
      <c r="C210" s="17">
        <f>IFERROR(VLOOKUP(A210,'Codici ATECO 2022'!A$2:C1240,3),0)</f>
        <v>0</v>
      </c>
      <c r="D210" s="5">
        <f t="shared" si="0"/>
        <v>0</v>
      </c>
    </row>
    <row r="211" spans="2:4">
      <c r="B211" s="5">
        <f>SUMIF(Pagamenti!E$2:E1240,A211,Pagamenti!D$2:D1240)</f>
        <v>0</v>
      </c>
      <c r="C211" s="17">
        <f>IFERROR(VLOOKUP(A211,'Codici ATECO 2022'!A$2:C1240,3),0)</f>
        <v>0</v>
      </c>
      <c r="D211" s="5">
        <f t="shared" si="0"/>
        <v>0</v>
      </c>
    </row>
    <row r="212" spans="2:4">
      <c r="B212" s="5">
        <f>SUMIF(Pagamenti!E$2:E1240,A212,Pagamenti!D$2:D1240)</f>
        <v>0</v>
      </c>
      <c r="C212" s="17">
        <f>IFERROR(VLOOKUP(A212,'Codici ATECO 2022'!A$2:C1240,3),0)</f>
        <v>0</v>
      </c>
      <c r="D212" s="5">
        <f t="shared" si="0"/>
        <v>0</v>
      </c>
    </row>
    <row r="213" spans="2:4">
      <c r="B213" s="5">
        <f>SUMIF(Pagamenti!E$2:E1240,A213,Pagamenti!D$2:D1240)</f>
        <v>0</v>
      </c>
      <c r="C213" s="17">
        <f>IFERROR(VLOOKUP(A213,'Codici ATECO 2022'!A$2:C1240,3),0)</f>
        <v>0</v>
      </c>
      <c r="D213" s="5">
        <f t="shared" si="0"/>
        <v>0</v>
      </c>
    </row>
    <row r="214" spans="2:4">
      <c r="B214" s="5">
        <f>SUMIF(Pagamenti!E$2:E1240,A214,Pagamenti!D$2:D1240)</f>
        <v>0</v>
      </c>
      <c r="C214" s="17">
        <f>IFERROR(VLOOKUP(A214,'Codici ATECO 2022'!A$2:C1240,3),0)</f>
        <v>0</v>
      </c>
      <c r="D214" s="5">
        <f t="shared" si="0"/>
        <v>0</v>
      </c>
    </row>
    <row r="215" spans="2:4">
      <c r="B215" s="5">
        <f>SUMIF(Pagamenti!E$2:E1240,A215,Pagamenti!D$2:D1240)</f>
        <v>0</v>
      </c>
      <c r="C215" s="17">
        <f>IFERROR(VLOOKUP(A215,'Codici ATECO 2022'!A$2:C1240,3),0)</f>
        <v>0</v>
      </c>
      <c r="D215" s="5">
        <f t="shared" si="0"/>
        <v>0</v>
      </c>
    </row>
    <row r="216" spans="2:4">
      <c r="B216" s="5">
        <f>SUMIF(Pagamenti!E$2:E1240,A216,Pagamenti!D$2:D1240)</f>
        <v>0</v>
      </c>
      <c r="C216" s="17">
        <f>IFERROR(VLOOKUP(A216,'Codici ATECO 2022'!A$2:C1240,3),0)</f>
        <v>0</v>
      </c>
      <c r="D216" s="5">
        <f t="shared" si="0"/>
        <v>0</v>
      </c>
    </row>
    <row r="217" spans="2:4">
      <c r="B217" s="5">
        <f>SUMIF(Pagamenti!E$2:E1240,A217,Pagamenti!D$2:D1240)</f>
        <v>0</v>
      </c>
      <c r="C217" s="17">
        <f>IFERROR(VLOOKUP(A217,'Codici ATECO 2022'!A$2:C1240,3),0)</f>
        <v>0</v>
      </c>
      <c r="D217" s="5">
        <f t="shared" si="0"/>
        <v>0</v>
      </c>
    </row>
    <row r="218" spans="2:4">
      <c r="B218" s="5">
        <f>SUMIF(Pagamenti!E$2:E1240,A218,Pagamenti!D$2:D1240)</f>
        <v>0</v>
      </c>
      <c r="C218" s="17">
        <f>IFERROR(VLOOKUP(A218,'Codici ATECO 2022'!A$2:C1240,3),0)</f>
        <v>0</v>
      </c>
      <c r="D218" s="5">
        <f t="shared" si="0"/>
        <v>0</v>
      </c>
    </row>
    <row r="219" spans="2:4">
      <c r="B219" s="5">
        <f>SUMIF(Pagamenti!E$2:E1240,A219,Pagamenti!D$2:D1240)</f>
        <v>0</v>
      </c>
      <c r="C219" s="17">
        <f>IFERROR(VLOOKUP(A219,'Codici ATECO 2022'!A$2:C1240,3),0)</f>
        <v>0</v>
      </c>
      <c r="D219" s="5">
        <f t="shared" si="0"/>
        <v>0</v>
      </c>
    </row>
    <row r="220" spans="2:4">
      <c r="B220" s="5">
        <f>SUMIF(Pagamenti!E$2:E1240,A220,Pagamenti!D$2:D1240)</f>
        <v>0</v>
      </c>
      <c r="C220" s="17">
        <f>IFERROR(VLOOKUP(A220,'Codici ATECO 2022'!A$2:C1240,3),0)</f>
        <v>0</v>
      </c>
      <c r="D220" s="5">
        <f t="shared" si="0"/>
        <v>0</v>
      </c>
    </row>
    <row r="221" spans="2:4">
      <c r="B221" s="5">
        <f>SUMIF(Pagamenti!E$2:E1240,A221,Pagamenti!D$2:D1240)</f>
        <v>0</v>
      </c>
      <c r="C221" s="17">
        <f>IFERROR(VLOOKUP(A221,'Codici ATECO 2022'!A$2:C1240,3),0)</f>
        <v>0</v>
      </c>
      <c r="D221" s="5">
        <f t="shared" si="0"/>
        <v>0</v>
      </c>
    </row>
    <row r="222" spans="2:4">
      <c r="B222" s="5">
        <f>SUMIF(Pagamenti!E$2:E1240,A222,Pagamenti!D$2:D1240)</f>
        <v>0</v>
      </c>
      <c r="C222" s="17">
        <f>IFERROR(VLOOKUP(A222,'Codici ATECO 2022'!A$2:C1240,3),0)</f>
        <v>0</v>
      </c>
      <c r="D222" s="5">
        <f t="shared" si="0"/>
        <v>0</v>
      </c>
    </row>
    <row r="223" spans="2:4">
      <c r="B223" s="5">
        <f>SUMIF(Pagamenti!E$2:E1240,A223,Pagamenti!D$2:D1240)</f>
        <v>0</v>
      </c>
      <c r="C223" s="17">
        <f>IFERROR(VLOOKUP(A223,'Codici ATECO 2022'!A$2:C1240,3),0)</f>
        <v>0</v>
      </c>
      <c r="D223" s="5">
        <f t="shared" si="0"/>
        <v>0</v>
      </c>
    </row>
    <row r="224" spans="2:4">
      <c r="B224" s="5">
        <f>SUMIF(Pagamenti!E$2:E1240,A224,Pagamenti!D$2:D1240)</f>
        <v>0</v>
      </c>
      <c r="C224" s="17">
        <f>IFERROR(VLOOKUP(A224,'Codici ATECO 2022'!A$2:C1240,3),0)</f>
        <v>0</v>
      </c>
      <c r="D224" s="5">
        <f t="shared" si="0"/>
        <v>0</v>
      </c>
    </row>
    <row r="225" spans="2:4">
      <c r="B225" s="5">
        <f>SUMIF(Pagamenti!E$2:E1240,A225,Pagamenti!D$2:D1240)</f>
        <v>0</v>
      </c>
      <c r="C225" s="17">
        <f>IFERROR(VLOOKUP(A225,'Codici ATECO 2022'!A$2:C1240,3),0)</f>
        <v>0</v>
      </c>
      <c r="D225" s="5">
        <f t="shared" si="0"/>
        <v>0</v>
      </c>
    </row>
    <row r="226" spans="2:4">
      <c r="B226" s="5">
        <f>SUMIF(Pagamenti!E$2:E1240,A226,Pagamenti!D$2:D1240)</f>
        <v>0</v>
      </c>
      <c r="C226" s="17">
        <f>IFERROR(VLOOKUP(A226,'Codici ATECO 2022'!A$2:C1240,3),0)</f>
        <v>0</v>
      </c>
      <c r="D226" s="5">
        <f t="shared" si="0"/>
        <v>0</v>
      </c>
    </row>
    <row r="227" spans="2:4">
      <c r="B227" s="5">
        <f>SUMIF(Pagamenti!E$2:E1240,A227,Pagamenti!D$2:D1240)</f>
        <v>0</v>
      </c>
      <c r="C227" s="17">
        <f>IFERROR(VLOOKUP(A227,'Codici ATECO 2022'!A$2:C1240,3),0)</f>
        <v>0</v>
      </c>
      <c r="D227" s="5">
        <f t="shared" si="0"/>
        <v>0</v>
      </c>
    </row>
    <row r="228" spans="2:4">
      <c r="B228" s="5">
        <f>SUMIF(Pagamenti!E$2:E1240,A228,Pagamenti!D$2:D1240)</f>
        <v>0</v>
      </c>
      <c r="C228" s="17">
        <f>IFERROR(VLOOKUP(A228,'Codici ATECO 2022'!A$2:C1240,3),0)</f>
        <v>0</v>
      </c>
      <c r="D228" s="5">
        <f t="shared" si="0"/>
        <v>0</v>
      </c>
    </row>
    <row r="229" spans="2:4">
      <c r="B229" s="5">
        <f>SUMIF(Pagamenti!E$2:E1240,A229,Pagamenti!D$2:D1240)</f>
        <v>0</v>
      </c>
      <c r="C229" s="17">
        <f>IFERROR(VLOOKUP(A229,'Codici ATECO 2022'!A$2:C1240,3),0)</f>
        <v>0</v>
      </c>
      <c r="D229" s="5">
        <f t="shared" si="0"/>
        <v>0</v>
      </c>
    </row>
    <row r="230" spans="2:4">
      <c r="B230" s="5">
        <f>SUMIF(Pagamenti!E$2:E1240,A230,Pagamenti!D$2:D1240)</f>
        <v>0</v>
      </c>
      <c r="C230" s="17">
        <f>IFERROR(VLOOKUP(A230,'Codici ATECO 2022'!A$2:C1240,3),0)</f>
        <v>0</v>
      </c>
      <c r="D230" s="5">
        <f t="shared" si="0"/>
        <v>0</v>
      </c>
    </row>
    <row r="231" spans="2:4">
      <c r="B231" s="5">
        <f>SUMIF(Pagamenti!E$2:E1240,A231,Pagamenti!D$2:D1240)</f>
        <v>0</v>
      </c>
      <c r="C231" s="17">
        <f>IFERROR(VLOOKUP(A231,'Codici ATECO 2022'!A$2:C1240,3),0)</f>
        <v>0</v>
      </c>
      <c r="D231" s="5">
        <f t="shared" si="0"/>
        <v>0</v>
      </c>
    </row>
    <row r="232" spans="2:4">
      <c r="B232" s="5">
        <f>SUMIF(Pagamenti!E$2:E1240,A232,Pagamenti!D$2:D1240)</f>
        <v>0</v>
      </c>
      <c r="C232" s="17">
        <f>IFERROR(VLOOKUP(A232,'Codici ATECO 2022'!A$2:C1240,3),0)</f>
        <v>0</v>
      </c>
      <c r="D232" s="5">
        <f t="shared" si="0"/>
        <v>0</v>
      </c>
    </row>
    <row r="233" spans="2:4">
      <c r="B233" s="5">
        <f>SUMIF(Pagamenti!E$2:E1240,A233,Pagamenti!D$2:D1240)</f>
        <v>0</v>
      </c>
      <c r="C233" s="17">
        <f>IFERROR(VLOOKUP(A233,'Codici ATECO 2022'!A$2:C1240,3),0)</f>
        <v>0</v>
      </c>
      <c r="D233" s="5">
        <f t="shared" si="0"/>
        <v>0</v>
      </c>
    </row>
    <row r="234" spans="2:4">
      <c r="B234" s="5">
        <f>SUMIF(Pagamenti!E$2:E1240,A234,Pagamenti!D$2:D1240)</f>
        <v>0</v>
      </c>
      <c r="C234" s="17">
        <f>IFERROR(VLOOKUP(A234,'Codici ATECO 2022'!A$2:C1240,3),0)</f>
        <v>0</v>
      </c>
      <c r="D234" s="5">
        <f t="shared" si="0"/>
        <v>0</v>
      </c>
    </row>
    <row r="235" spans="2:4">
      <c r="B235" s="5">
        <f>SUMIF(Pagamenti!E$2:E1240,A235,Pagamenti!D$2:D1240)</f>
        <v>0</v>
      </c>
      <c r="C235" s="17">
        <f>IFERROR(VLOOKUP(A235,'Codici ATECO 2022'!A$2:C1240,3),0)</f>
        <v>0</v>
      </c>
      <c r="D235" s="5">
        <f t="shared" si="0"/>
        <v>0</v>
      </c>
    </row>
    <row r="236" spans="2:4">
      <c r="B236" s="5">
        <f>SUMIF(Pagamenti!E$2:E1240,A236,Pagamenti!D$2:D1240)</f>
        <v>0</v>
      </c>
      <c r="C236" s="17">
        <f>IFERROR(VLOOKUP(A236,'Codici ATECO 2022'!A$2:C1240,3),0)</f>
        <v>0</v>
      </c>
      <c r="D236" s="5">
        <f t="shared" si="0"/>
        <v>0</v>
      </c>
    </row>
    <row r="237" spans="2:4">
      <c r="B237" s="5">
        <f>SUMIF(Pagamenti!E$2:E1240,A237,Pagamenti!D$2:D1240)</f>
        <v>0</v>
      </c>
      <c r="C237" s="17">
        <f>IFERROR(VLOOKUP(A237,'Codici ATECO 2022'!A$2:C1240,3),0)</f>
        <v>0</v>
      </c>
      <c r="D237" s="5">
        <f t="shared" si="0"/>
        <v>0</v>
      </c>
    </row>
    <row r="238" spans="2:4">
      <c r="B238" s="5">
        <f>SUMIF(Pagamenti!E$2:E1240,A238,Pagamenti!D$2:D1240)</f>
        <v>0</v>
      </c>
      <c r="C238" s="17">
        <f>IFERROR(VLOOKUP(A238,'Codici ATECO 2022'!A$2:C1240,3),0)</f>
        <v>0</v>
      </c>
      <c r="D238" s="5">
        <f t="shared" si="0"/>
        <v>0</v>
      </c>
    </row>
    <row r="239" spans="2:4">
      <c r="B239" s="5">
        <f>SUMIF(Pagamenti!E$2:E1240,A239,Pagamenti!D$2:D1240)</f>
        <v>0</v>
      </c>
      <c r="C239" s="17">
        <f>IFERROR(VLOOKUP(A239,'Codici ATECO 2022'!A$2:C1240,3),0)</f>
        <v>0</v>
      </c>
      <c r="D239" s="5">
        <f t="shared" si="0"/>
        <v>0</v>
      </c>
    </row>
    <row r="240" spans="2:4">
      <c r="B240" s="5">
        <f>SUMIF(Pagamenti!E$2:E1240,A240,Pagamenti!D$2:D1240)</f>
        <v>0</v>
      </c>
      <c r="C240" s="17">
        <f>IFERROR(VLOOKUP(A240,'Codici ATECO 2022'!A$2:C1240,3),0)</f>
        <v>0</v>
      </c>
      <c r="D240" s="5">
        <f t="shared" si="0"/>
        <v>0</v>
      </c>
    </row>
    <row r="241" spans="2:4">
      <c r="B241" s="5">
        <f>SUMIF(Pagamenti!E$2:E1240,A241,Pagamenti!D$2:D1240)</f>
        <v>0</v>
      </c>
      <c r="C241" s="17">
        <f>IFERROR(VLOOKUP(A241,'Codici ATECO 2022'!A$2:C1240,3),0)</f>
        <v>0</v>
      </c>
      <c r="D241" s="5">
        <f t="shared" si="0"/>
        <v>0</v>
      </c>
    </row>
    <row r="242" spans="2:4">
      <c r="B242" s="5">
        <f>SUMIF(Pagamenti!E$2:E1240,A242,Pagamenti!D$2:D1240)</f>
        <v>0</v>
      </c>
      <c r="C242" s="17">
        <f>IFERROR(VLOOKUP(A242,'Codici ATECO 2022'!A$2:C1240,3),0)</f>
        <v>0</v>
      </c>
      <c r="D242" s="5">
        <f t="shared" si="0"/>
        <v>0</v>
      </c>
    </row>
    <row r="243" spans="2:4">
      <c r="B243" s="5">
        <f>SUMIF(Pagamenti!E$2:E1240,A243,Pagamenti!D$2:D1240)</f>
        <v>0</v>
      </c>
      <c r="C243" s="17">
        <f>IFERROR(VLOOKUP(A243,'Codici ATECO 2022'!A$2:C1240,3),0)</f>
        <v>0</v>
      </c>
      <c r="D243" s="5">
        <f t="shared" si="0"/>
        <v>0</v>
      </c>
    </row>
    <row r="244" spans="2:4">
      <c r="B244" s="5">
        <f>SUMIF(Pagamenti!E$2:E1240,A244,Pagamenti!D$2:D1240)</f>
        <v>0</v>
      </c>
      <c r="C244" s="17">
        <f>IFERROR(VLOOKUP(A244,'Codici ATECO 2022'!A$2:C1240,3),0)</f>
        <v>0</v>
      </c>
      <c r="D244" s="5">
        <f t="shared" si="0"/>
        <v>0</v>
      </c>
    </row>
    <row r="245" spans="2:4">
      <c r="B245" s="5">
        <f>SUMIF(Pagamenti!E$2:E1240,A245,Pagamenti!D$2:D1240)</f>
        <v>0</v>
      </c>
      <c r="C245" s="17">
        <f>IFERROR(VLOOKUP(A245,'Codici ATECO 2022'!A$2:C1240,3),0)</f>
        <v>0</v>
      </c>
      <c r="D245" s="5">
        <f t="shared" si="0"/>
        <v>0</v>
      </c>
    </row>
    <row r="246" spans="2:4">
      <c r="B246" s="5">
        <f>SUMIF(Pagamenti!E$2:E1240,A246,Pagamenti!D$2:D1240)</f>
        <v>0</v>
      </c>
      <c r="C246" s="17">
        <f>IFERROR(VLOOKUP(A246,'Codici ATECO 2022'!A$2:C1240,3),0)</f>
        <v>0</v>
      </c>
      <c r="D246" s="5">
        <f t="shared" si="0"/>
        <v>0</v>
      </c>
    </row>
    <row r="247" spans="2:4">
      <c r="B247" s="5">
        <f>SUMIF(Pagamenti!E$2:E1240,A247,Pagamenti!D$2:D1240)</f>
        <v>0</v>
      </c>
      <c r="C247" s="17">
        <f>IFERROR(VLOOKUP(A247,'Codici ATECO 2022'!A$2:C1240,3),0)</f>
        <v>0</v>
      </c>
      <c r="D247" s="5">
        <f t="shared" si="0"/>
        <v>0</v>
      </c>
    </row>
    <row r="248" spans="2:4">
      <c r="B248" s="5">
        <f>SUMIF(Pagamenti!E$2:E1240,A248,Pagamenti!D$2:D1240)</f>
        <v>0</v>
      </c>
      <c r="C248" s="17">
        <f>IFERROR(VLOOKUP(A248,'Codici ATECO 2022'!A$2:C1240,3),0)</f>
        <v>0</v>
      </c>
      <c r="D248" s="5">
        <f t="shared" si="0"/>
        <v>0</v>
      </c>
    </row>
    <row r="249" spans="2:4">
      <c r="B249" s="5">
        <f>SUMIF(Pagamenti!E$2:E1240,A249,Pagamenti!D$2:D1240)</f>
        <v>0</v>
      </c>
      <c r="C249" s="17">
        <f>IFERROR(VLOOKUP(A249,'Codici ATECO 2022'!A$2:C1240,3),0)</f>
        <v>0</v>
      </c>
      <c r="D249" s="5">
        <f t="shared" si="0"/>
        <v>0</v>
      </c>
    </row>
    <row r="250" spans="2:4">
      <c r="B250" s="5">
        <f>SUMIF(Pagamenti!E$2:E1240,A250,Pagamenti!D$2:D1240)</f>
        <v>0</v>
      </c>
      <c r="C250" s="17">
        <f>IFERROR(VLOOKUP(A250,'Codici ATECO 2022'!A$2:C1240,3),0)</f>
        <v>0</v>
      </c>
      <c r="D250" s="5">
        <f t="shared" si="0"/>
        <v>0</v>
      </c>
    </row>
    <row r="251" spans="2:4">
      <c r="B251" s="5">
        <f>SUMIF(Pagamenti!E$2:E1240,A251,Pagamenti!D$2:D1240)</f>
        <v>0</v>
      </c>
      <c r="C251" s="17">
        <f>IFERROR(VLOOKUP(A251,'Codici ATECO 2022'!A$2:C1240,3),0)</f>
        <v>0</v>
      </c>
      <c r="D251" s="5">
        <f t="shared" si="0"/>
        <v>0</v>
      </c>
    </row>
    <row r="252" spans="2:4">
      <c r="B252" s="5">
        <f>SUMIF(Pagamenti!E$2:E1240,A252,Pagamenti!D$2:D1240)</f>
        <v>0</v>
      </c>
      <c r="C252" s="17">
        <f>IFERROR(VLOOKUP(A252,'Codici ATECO 2022'!A$2:C1240,3),0)</f>
        <v>0</v>
      </c>
      <c r="D252" s="5">
        <f t="shared" si="0"/>
        <v>0</v>
      </c>
    </row>
    <row r="253" spans="2:4">
      <c r="B253" s="5">
        <f>SUMIF(Pagamenti!E$2:E1240,A253,Pagamenti!D$2:D1240)</f>
        <v>0</v>
      </c>
      <c r="C253" s="17">
        <f>IFERROR(VLOOKUP(A253,'Codici ATECO 2022'!A$2:C1240,3),0)</f>
        <v>0</v>
      </c>
      <c r="D253" s="5">
        <f t="shared" si="0"/>
        <v>0</v>
      </c>
    </row>
    <row r="254" spans="2:4">
      <c r="B254" s="5">
        <f>SUMIF(Pagamenti!E$2:E1240,A254,Pagamenti!D$2:D1240)</f>
        <v>0</v>
      </c>
      <c r="C254" s="17">
        <f>IFERROR(VLOOKUP(A254,'Codici ATECO 2022'!A$2:C1240,3),0)</f>
        <v>0</v>
      </c>
      <c r="D254" s="5">
        <f t="shared" si="0"/>
        <v>0</v>
      </c>
    </row>
    <row r="255" spans="2:4">
      <c r="B255" s="5">
        <f>SUMIF(Pagamenti!E$2:E1240,A255,Pagamenti!D$2:D1240)</f>
        <v>0</v>
      </c>
      <c r="C255" s="17">
        <f>IFERROR(VLOOKUP(A255,'Codici ATECO 2022'!A$2:C1240,3),0)</f>
        <v>0</v>
      </c>
      <c r="D255" s="5">
        <f t="shared" si="0"/>
        <v>0</v>
      </c>
    </row>
    <row r="256" spans="2:4">
      <c r="B256" s="5">
        <f>SUMIF(Pagamenti!E$2:E1240,A256,Pagamenti!D$2:D1240)</f>
        <v>0</v>
      </c>
      <c r="C256" s="17">
        <f>IFERROR(VLOOKUP(A256,'Codici ATECO 2022'!A$2:C1240,3),0)</f>
        <v>0</v>
      </c>
      <c r="D256" s="5">
        <f t="shared" si="0"/>
        <v>0</v>
      </c>
    </row>
    <row r="257" spans="2:4">
      <c r="B257" s="5">
        <f>SUMIF(Pagamenti!E$2:E1240,A257,Pagamenti!D$2:D1240)</f>
        <v>0</v>
      </c>
      <c r="C257" s="17">
        <f>IFERROR(VLOOKUP(A257,'Codici ATECO 2022'!A$2:C1240,3),0)</f>
        <v>0</v>
      </c>
      <c r="D257" s="5">
        <f t="shared" ref="D257:D511" si="1">B257*C257</f>
        <v>0</v>
      </c>
    </row>
    <row r="258" spans="2:4">
      <c r="B258" s="5">
        <f>SUMIF(Pagamenti!E$2:E1240,A258,Pagamenti!D$2:D1240)</f>
        <v>0</v>
      </c>
      <c r="C258" s="17">
        <f>IFERROR(VLOOKUP(A258,'Codici ATECO 2022'!A$2:C1240,3),0)</f>
        <v>0</v>
      </c>
      <c r="D258" s="5">
        <f t="shared" si="1"/>
        <v>0</v>
      </c>
    </row>
    <row r="259" spans="2:4">
      <c r="B259" s="5">
        <f>SUMIF(Pagamenti!E$2:E1240,A259,Pagamenti!D$2:D1240)</f>
        <v>0</v>
      </c>
      <c r="C259" s="17">
        <f>IFERROR(VLOOKUP(A259,'Codici ATECO 2022'!A$2:C1240,3),0)</f>
        <v>0</v>
      </c>
      <c r="D259" s="5">
        <f t="shared" si="1"/>
        <v>0</v>
      </c>
    </row>
    <row r="260" spans="2:4">
      <c r="B260" s="5">
        <f>SUMIF(Pagamenti!E$2:E1240,A260,Pagamenti!D$2:D1240)</f>
        <v>0</v>
      </c>
      <c r="C260" s="17">
        <f>IFERROR(VLOOKUP(A260,'Codici ATECO 2022'!A$2:C1240,3),0)</f>
        <v>0</v>
      </c>
      <c r="D260" s="5">
        <f t="shared" si="1"/>
        <v>0</v>
      </c>
    </row>
    <row r="261" spans="2:4">
      <c r="B261" s="5">
        <f>SUMIF(Pagamenti!E$2:E1240,A261,Pagamenti!D$2:D1240)</f>
        <v>0</v>
      </c>
      <c r="C261" s="17">
        <f>IFERROR(VLOOKUP(A261,'Codici ATECO 2022'!A$2:C1240,3),0)</f>
        <v>0</v>
      </c>
      <c r="D261" s="5">
        <f t="shared" si="1"/>
        <v>0</v>
      </c>
    </row>
    <row r="262" spans="2:4">
      <c r="B262" s="5">
        <f>SUMIF(Pagamenti!E$2:E1240,A262,Pagamenti!D$2:D1240)</f>
        <v>0</v>
      </c>
      <c r="C262" s="17">
        <f>IFERROR(VLOOKUP(A262,'Codici ATECO 2022'!A$2:C1240,3),0)</f>
        <v>0</v>
      </c>
      <c r="D262" s="5">
        <f t="shared" si="1"/>
        <v>0</v>
      </c>
    </row>
    <row r="263" spans="2:4">
      <c r="B263" s="5">
        <f>SUMIF(Pagamenti!E$2:E1240,A263,Pagamenti!D$2:D1240)</f>
        <v>0</v>
      </c>
      <c r="C263" s="17">
        <f>IFERROR(VLOOKUP(A263,'Codici ATECO 2022'!A$2:C1240,3),0)</f>
        <v>0</v>
      </c>
      <c r="D263" s="5">
        <f t="shared" si="1"/>
        <v>0</v>
      </c>
    </row>
    <row r="264" spans="2:4">
      <c r="B264" s="5">
        <f>SUMIF(Pagamenti!E$2:E1240,A264,Pagamenti!D$2:D1240)</f>
        <v>0</v>
      </c>
      <c r="C264" s="17">
        <f>IFERROR(VLOOKUP(A264,'Codici ATECO 2022'!A$2:C1240,3),0)</f>
        <v>0</v>
      </c>
      <c r="D264" s="5">
        <f t="shared" si="1"/>
        <v>0</v>
      </c>
    </row>
    <row r="265" spans="2:4">
      <c r="B265" s="5">
        <f>SUMIF(Pagamenti!E$2:E1240,A265,Pagamenti!D$2:D1240)</f>
        <v>0</v>
      </c>
      <c r="C265" s="17">
        <f>IFERROR(VLOOKUP(A265,'Codici ATECO 2022'!A$2:C1240,3),0)</f>
        <v>0</v>
      </c>
      <c r="D265" s="5">
        <f t="shared" si="1"/>
        <v>0</v>
      </c>
    </row>
    <row r="266" spans="2:4">
      <c r="B266" s="5">
        <f>SUMIF(Pagamenti!E$2:E1240,A266,Pagamenti!D$2:D1240)</f>
        <v>0</v>
      </c>
      <c r="C266" s="17">
        <f>IFERROR(VLOOKUP(A266,'Codici ATECO 2022'!A$2:C1240,3),0)</f>
        <v>0</v>
      </c>
      <c r="D266" s="5">
        <f t="shared" si="1"/>
        <v>0</v>
      </c>
    </row>
    <row r="267" spans="2:4">
      <c r="B267" s="5">
        <f>SUMIF(Pagamenti!E$2:E1240,A267,Pagamenti!D$2:D1240)</f>
        <v>0</v>
      </c>
      <c r="C267" s="17">
        <f>IFERROR(VLOOKUP(A267,'Codici ATECO 2022'!A$2:C1240,3),0)</f>
        <v>0</v>
      </c>
      <c r="D267" s="5">
        <f t="shared" si="1"/>
        <v>0</v>
      </c>
    </row>
    <row r="268" spans="2:4">
      <c r="B268" s="5">
        <f>SUMIF(Pagamenti!E$2:E1240,A268,Pagamenti!D$2:D1240)</f>
        <v>0</v>
      </c>
      <c r="C268" s="17">
        <f>IFERROR(VLOOKUP(A268,'Codici ATECO 2022'!A$2:C1240,3),0)</f>
        <v>0</v>
      </c>
      <c r="D268" s="5">
        <f t="shared" si="1"/>
        <v>0</v>
      </c>
    </row>
    <row r="269" spans="2:4">
      <c r="B269" s="5">
        <f>SUMIF(Pagamenti!E$2:E1240,A269,Pagamenti!D$2:D1240)</f>
        <v>0</v>
      </c>
      <c r="C269" s="17">
        <f>IFERROR(VLOOKUP(A269,'Codici ATECO 2022'!A$2:C1240,3),0)</f>
        <v>0</v>
      </c>
      <c r="D269" s="5">
        <f t="shared" si="1"/>
        <v>0</v>
      </c>
    </row>
    <row r="270" spans="2:4">
      <c r="B270" s="5">
        <f>SUMIF(Pagamenti!E$2:E1240,A270,Pagamenti!D$2:D1240)</f>
        <v>0</v>
      </c>
      <c r="C270" s="17">
        <f>IFERROR(VLOOKUP(A270,'Codici ATECO 2022'!A$2:C1240,3),0)</f>
        <v>0</v>
      </c>
      <c r="D270" s="5">
        <f t="shared" si="1"/>
        <v>0</v>
      </c>
    </row>
    <row r="271" spans="2:4">
      <c r="B271" s="5">
        <f>SUMIF(Pagamenti!E$2:E1240,A271,Pagamenti!D$2:D1240)</f>
        <v>0</v>
      </c>
      <c r="C271" s="17">
        <f>IFERROR(VLOOKUP(A271,'Codici ATECO 2022'!A$2:C1240,3),0)</f>
        <v>0</v>
      </c>
      <c r="D271" s="5">
        <f t="shared" si="1"/>
        <v>0</v>
      </c>
    </row>
    <row r="272" spans="2:4">
      <c r="B272" s="5">
        <f>SUMIF(Pagamenti!E$2:E1240,A272,Pagamenti!D$2:D1240)</f>
        <v>0</v>
      </c>
      <c r="C272" s="17">
        <f>IFERROR(VLOOKUP(A272,'Codici ATECO 2022'!A$2:C1240,3),0)</f>
        <v>0</v>
      </c>
      <c r="D272" s="5">
        <f t="shared" si="1"/>
        <v>0</v>
      </c>
    </row>
    <row r="273" spans="2:4">
      <c r="B273" s="5">
        <f>SUMIF(Pagamenti!E$2:E1240,A273,Pagamenti!D$2:D1240)</f>
        <v>0</v>
      </c>
      <c r="C273" s="17">
        <f>IFERROR(VLOOKUP(A273,'Codici ATECO 2022'!A$2:C1240,3),0)</f>
        <v>0</v>
      </c>
      <c r="D273" s="5">
        <f t="shared" si="1"/>
        <v>0</v>
      </c>
    </row>
    <row r="274" spans="2:4">
      <c r="B274" s="5">
        <f>SUMIF(Pagamenti!E$2:E1240,A274,Pagamenti!D$2:D1240)</f>
        <v>0</v>
      </c>
      <c r="C274" s="17">
        <f>IFERROR(VLOOKUP(A274,'Codici ATECO 2022'!A$2:C1240,3),0)</f>
        <v>0</v>
      </c>
      <c r="D274" s="5">
        <f t="shared" si="1"/>
        <v>0</v>
      </c>
    </row>
    <row r="275" spans="2:4">
      <c r="B275" s="5">
        <f>SUMIF(Pagamenti!E$2:E1240,A275,Pagamenti!D$2:D1240)</f>
        <v>0</v>
      </c>
      <c r="C275" s="17">
        <f>IFERROR(VLOOKUP(A275,'Codici ATECO 2022'!A$2:C1240,3),0)</f>
        <v>0</v>
      </c>
      <c r="D275" s="5">
        <f t="shared" si="1"/>
        <v>0</v>
      </c>
    </row>
    <row r="276" spans="2:4">
      <c r="B276" s="5">
        <f>SUMIF(Pagamenti!E$2:E1240,A276,Pagamenti!D$2:D1240)</f>
        <v>0</v>
      </c>
      <c r="C276" s="17">
        <f>IFERROR(VLOOKUP(A276,'Codici ATECO 2022'!A$2:C1240,3),0)</f>
        <v>0</v>
      </c>
      <c r="D276" s="5">
        <f t="shared" si="1"/>
        <v>0</v>
      </c>
    </row>
    <row r="277" spans="2:4">
      <c r="B277" s="5">
        <f>SUMIF(Pagamenti!E$2:E1240,A277,Pagamenti!D$2:D1240)</f>
        <v>0</v>
      </c>
      <c r="C277" s="17">
        <f>IFERROR(VLOOKUP(A277,'Codici ATECO 2022'!A$2:C1240,3),0)</f>
        <v>0</v>
      </c>
      <c r="D277" s="5">
        <f t="shared" si="1"/>
        <v>0</v>
      </c>
    </row>
    <row r="278" spans="2:4">
      <c r="B278" s="5">
        <f>SUMIF(Pagamenti!E$2:E1240,A278,Pagamenti!D$2:D1240)</f>
        <v>0</v>
      </c>
      <c r="C278" s="17">
        <f>IFERROR(VLOOKUP(A278,'Codici ATECO 2022'!A$2:C1240,3),0)</f>
        <v>0</v>
      </c>
      <c r="D278" s="5">
        <f t="shared" si="1"/>
        <v>0</v>
      </c>
    </row>
    <row r="279" spans="2:4">
      <c r="B279" s="5">
        <f>SUMIF(Pagamenti!E$2:E1240,A279,Pagamenti!D$2:D1240)</f>
        <v>0</v>
      </c>
      <c r="C279" s="17">
        <f>IFERROR(VLOOKUP(A279,'Codici ATECO 2022'!A$2:C1240,3),0)</f>
        <v>0</v>
      </c>
      <c r="D279" s="5">
        <f t="shared" si="1"/>
        <v>0</v>
      </c>
    </row>
    <row r="280" spans="2:4">
      <c r="B280" s="5">
        <f>SUMIF(Pagamenti!E$2:E1240,A280,Pagamenti!D$2:D1240)</f>
        <v>0</v>
      </c>
      <c r="C280" s="17">
        <f>IFERROR(VLOOKUP(A280,'Codici ATECO 2022'!A$2:C1240,3),0)</f>
        <v>0</v>
      </c>
      <c r="D280" s="5">
        <f t="shared" si="1"/>
        <v>0</v>
      </c>
    </row>
    <row r="281" spans="2:4">
      <c r="B281" s="5">
        <f>SUMIF(Pagamenti!E$2:E1240,A281,Pagamenti!D$2:D1240)</f>
        <v>0</v>
      </c>
      <c r="C281" s="17">
        <f>IFERROR(VLOOKUP(A281,'Codici ATECO 2022'!A$2:C1240,3),0)</f>
        <v>0</v>
      </c>
      <c r="D281" s="5">
        <f t="shared" si="1"/>
        <v>0</v>
      </c>
    </row>
    <row r="282" spans="2:4">
      <c r="B282" s="5">
        <f>SUMIF(Pagamenti!E$2:E1240,A282,Pagamenti!D$2:D1240)</f>
        <v>0</v>
      </c>
      <c r="C282" s="17">
        <f>IFERROR(VLOOKUP(A282,'Codici ATECO 2022'!A$2:C1240,3),0)</f>
        <v>0</v>
      </c>
      <c r="D282" s="5">
        <f t="shared" si="1"/>
        <v>0</v>
      </c>
    </row>
    <row r="283" spans="2:4">
      <c r="B283" s="5">
        <f>SUMIF(Pagamenti!E$2:E1240,A283,Pagamenti!D$2:D1240)</f>
        <v>0</v>
      </c>
      <c r="C283" s="17">
        <f>IFERROR(VLOOKUP(A283,'Codici ATECO 2022'!A$2:C1240,3),0)</f>
        <v>0</v>
      </c>
      <c r="D283" s="5">
        <f t="shared" si="1"/>
        <v>0</v>
      </c>
    </row>
    <row r="284" spans="2:4">
      <c r="B284" s="5">
        <f>SUMIF(Pagamenti!E$2:E1240,A284,Pagamenti!D$2:D1240)</f>
        <v>0</v>
      </c>
      <c r="C284" s="17">
        <f>IFERROR(VLOOKUP(A284,'Codici ATECO 2022'!A$2:C1240,3),0)</f>
        <v>0</v>
      </c>
      <c r="D284" s="5">
        <f t="shared" si="1"/>
        <v>0</v>
      </c>
    </row>
    <row r="285" spans="2:4">
      <c r="B285" s="5">
        <f>SUMIF(Pagamenti!E$2:E1240,A285,Pagamenti!D$2:D1240)</f>
        <v>0</v>
      </c>
      <c r="C285" s="17">
        <f>IFERROR(VLOOKUP(A285,'Codici ATECO 2022'!A$2:C1240,3),0)</f>
        <v>0</v>
      </c>
      <c r="D285" s="5">
        <f t="shared" si="1"/>
        <v>0</v>
      </c>
    </row>
    <row r="286" spans="2:4">
      <c r="B286" s="5">
        <f>SUMIF(Pagamenti!E$2:E1240,A286,Pagamenti!D$2:D1240)</f>
        <v>0</v>
      </c>
      <c r="C286" s="17">
        <f>IFERROR(VLOOKUP(A286,'Codici ATECO 2022'!A$2:C1240,3),0)</f>
        <v>0</v>
      </c>
      <c r="D286" s="5">
        <f t="shared" si="1"/>
        <v>0</v>
      </c>
    </row>
    <row r="287" spans="2:4">
      <c r="B287" s="5">
        <f>SUMIF(Pagamenti!E$2:E1240,A287,Pagamenti!D$2:D1240)</f>
        <v>0</v>
      </c>
      <c r="C287" s="17">
        <f>IFERROR(VLOOKUP(A287,'Codici ATECO 2022'!A$2:C1240,3),0)</f>
        <v>0</v>
      </c>
      <c r="D287" s="5">
        <f t="shared" si="1"/>
        <v>0</v>
      </c>
    </row>
    <row r="288" spans="2:4">
      <c r="B288" s="5">
        <f>SUMIF(Pagamenti!E$2:E1240,A288,Pagamenti!D$2:D1240)</f>
        <v>0</v>
      </c>
      <c r="C288" s="17">
        <f>IFERROR(VLOOKUP(A288,'Codici ATECO 2022'!A$2:C1240,3),0)</f>
        <v>0</v>
      </c>
      <c r="D288" s="5">
        <f t="shared" si="1"/>
        <v>0</v>
      </c>
    </row>
    <row r="289" spans="2:4">
      <c r="B289" s="5">
        <f>SUMIF(Pagamenti!E$2:E1240,A289,Pagamenti!D$2:D1240)</f>
        <v>0</v>
      </c>
      <c r="C289" s="17">
        <f>IFERROR(VLOOKUP(A289,'Codici ATECO 2022'!A$2:C1240,3),0)</f>
        <v>0</v>
      </c>
      <c r="D289" s="5">
        <f t="shared" si="1"/>
        <v>0</v>
      </c>
    </row>
    <row r="290" spans="2:4">
      <c r="B290" s="5">
        <f>SUMIF(Pagamenti!E$2:E1240,A290,Pagamenti!D$2:D1240)</f>
        <v>0</v>
      </c>
      <c r="C290" s="17">
        <f>IFERROR(VLOOKUP(A290,'Codici ATECO 2022'!A$2:C1240,3),0)</f>
        <v>0</v>
      </c>
      <c r="D290" s="5">
        <f t="shared" si="1"/>
        <v>0</v>
      </c>
    </row>
    <row r="291" spans="2:4">
      <c r="B291" s="5">
        <f>SUMIF(Pagamenti!E$2:E1240,A291,Pagamenti!D$2:D1240)</f>
        <v>0</v>
      </c>
      <c r="C291" s="17">
        <f>IFERROR(VLOOKUP(A291,'Codici ATECO 2022'!A$2:C1240,3),0)</f>
        <v>0</v>
      </c>
      <c r="D291" s="5">
        <f t="shared" si="1"/>
        <v>0</v>
      </c>
    </row>
    <row r="292" spans="2:4">
      <c r="B292" s="5">
        <f>SUMIF(Pagamenti!E$2:E1240,A292,Pagamenti!D$2:D1240)</f>
        <v>0</v>
      </c>
      <c r="C292" s="17">
        <f>IFERROR(VLOOKUP(A292,'Codici ATECO 2022'!A$2:C1240,3),0)</f>
        <v>0</v>
      </c>
      <c r="D292" s="5">
        <f t="shared" si="1"/>
        <v>0</v>
      </c>
    </row>
    <row r="293" spans="2:4">
      <c r="B293" s="5">
        <f>SUMIF(Pagamenti!E$2:E1240,A293,Pagamenti!D$2:D1240)</f>
        <v>0</v>
      </c>
      <c r="C293" s="17">
        <f>IFERROR(VLOOKUP(A293,'Codici ATECO 2022'!A$2:C1240,3),0)</f>
        <v>0</v>
      </c>
      <c r="D293" s="5">
        <f t="shared" si="1"/>
        <v>0</v>
      </c>
    </row>
    <row r="294" spans="2:4">
      <c r="B294" s="5">
        <f>SUMIF(Pagamenti!E$2:E1240,A294,Pagamenti!D$2:D1240)</f>
        <v>0</v>
      </c>
      <c r="C294" s="17">
        <f>IFERROR(VLOOKUP(A294,'Codici ATECO 2022'!A$2:C1240,3),0)</f>
        <v>0</v>
      </c>
      <c r="D294" s="5">
        <f t="shared" si="1"/>
        <v>0</v>
      </c>
    </row>
    <row r="295" spans="2:4">
      <c r="B295" s="5">
        <f>SUMIF(Pagamenti!E$2:E1240,A295,Pagamenti!D$2:D1240)</f>
        <v>0</v>
      </c>
      <c r="C295" s="17">
        <f>IFERROR(VLOOKUP(A295,'Codici ATECO 2022'!A$2:C1240,3),0)</f>
        <v>0</v>
      </c>
      <c r="D295" s="5">
        <f t="shared" si="1"/>
        <v>0</v>
      </c>
    </row>
    <row r="296" spans="2:4">
      <c r="B296" s="5">
        <f>SUMIF(Pagamenti!E$2:E1240,A296,Pagamenti!D$2:D1240)</f>
        <v>0</v>
      </c>
      <c r="C296" s="17">
        <f>IFERROR(VLOOKUP(A296,'Codici ATECO 2022'!A$2:C1240,3),0)</f>
        <v>0</v>
      </c>
      <c r="D296" s="5">
        <f t="shared" si="1"/>
        <v>0</v>
      </c>
    </row>
    <row r="297" spans="2:4">
      <c r="B297" s="5">
        <f>SUMIF(Pagamenti!E$2:E1240,A297,Pagamenti!D$2:D1240)</f>
        <v>0</v>
      </c>
      <c r="C297" s="17">
        <f>IFERROR(VLOOKUP(A297,'Codici ATECO 2022'!A$2:C1240,3),0)</f>
        <v>0</v>
      </c>
      <c r="D297" s="5">
        <f t="shared" si="1"/>
        <v>0</v>
      </c>
    </row>
    <row r="298" spans="2:4">
      <c r="B298" s="5">
        <f>SUMIF(Pagamenti!E$2:E1240,A298,Pagamenti!D$2:D1240)</f>
        <v>0</v>
      </c>
      <c r="C298" s="17">
        <f>IFERROR(VLOOKUP(A298,'Codici ATECO 2022'!A$2:C1240,3),0)</f>
        <v>0</v>
      </c>
      <c r="D298" s="5">
        <f t="shared" si="1"/>
        <v>0</v>
      </c>
    </row>
    <row r="299" spans="2:4">
      <c r="B299" s="5">
        <f>SUMIF(Pagamenti!E$2:E1240,A299,Pagamenti!D$2:D1240)</f>
        <v>0</v>
      </c>
      <c r="C299" s="17">
        <f>IFERROR(VLOOKUP(A299,'Codici ATECO 2022'!A$2:C1240,3),0)</f>
        <v>0</v>
      </c>
      <c r="D299" s="5">
        <f t="shared" si="1"/>
        <v>0</v>
      </c>
    </row>
    <row r="300" spans="2:4">
      <c r="B300" s="5">
        <f>SUMIF(Pagamenti!E$2:E1240,A300,Pagamenti!D$2:D1240)</f>
        <v>0</v>
      </c>
      <c r="C300" s="17">
        <f>IFERROR(VLOOKUP(A300,'Codici ATECO 2022'!A$2:C1240,3),0)</f>
        <v>0</v>
      </c>
      <c r="D300" s="5">
        <f t="shared" si="1"/>
        <v>0</v>
      </c>
    </row>
    <row r="301" spans="2:4">
      <c r="B301" s="5">
        <f>SUMIF(Pagamenti!E$2:E1240,A301,Pagamenti!D$2:D1240)</f>
        <v>0</v>
      </c>
      <c r="C301" s="17">
        <f>IFERROR(VLOOKUP(A301,'Codici ATECO 2022'!A$2:C1240,3),0)</f>
        <v>0</v>
      </c>
      <c r="D301" s="5">
        <f t="shared" si="1"/>
        <v>0</v>
      </c>
    </row>
    <row r="302" spans="2:4">
      <c r="B302" s="5">
        <f>SUMIF(Pagamenti!E$2:E1240,A302,Pagamenti!D$2:D1240)</f>
        <v>0</v>
      </c>
      <c r="C302" s="17">
        <f>IFERROR(VLOOKUP(A302,'Codici ATECO 2022'!A$2:C1240,3),0)</f>
        <v>0</v>
      </c>
      <c r="D302" s="5">
        <f t="shared" si="1"/>
        <v>0</v>
      </c>
    </row>
    <row r="303" spans="2:4">
      <c r="B303" s="5">
        <f>SUMIF(Pagamenti!E$2:E1240,A303,Pagamenti!D$2:D1240)</f>
        <v>0</v>
      </c>
      <c r="C303" s="17">
        <f>IFERROR(VLOOKUP(A303,'Codici ATECO 2022'!A$2:C1240,3),0)</f>
        <v>0</v>
      </c>
      <c r="D303" s="5">
        <f t="shared" si="1"/>
        <v>0</v>
      </c>
    </row>
    <row r="304" spans="2:4">
      <c r="B304" s="5">
        <f>SUMIF(Pagamenti!E$2:E1240,A304,Pagamenti!D$2:D1240)</f>
        <v>0</v>
      </c>
      <c r="C304" s="17">
        <f>IFERROR(VLOOKUP(A304,'Codici ATECO 2022'!A$2:C1240,3),0)</f>
        <v>0</v>
      </c>
      <c r="D304" s="5">
        <f t="shared" si="1"/>
        <v>0</v>
      </c>
    </row>
    <row r="305" spans="2:4">
      <c r="B305" s="5">
        <f>SUMIF(Pagamenti!E$2:E1240,A305,Pagamenti!D$2:D1240)</f>
        <v>0</v>
      </c>
      <c r="C305" s="17">
        <f>IFERROR(VLOOKUP(A305,'Codici ATECO 2022'!A$2:C1240,3),0)</f>
        <v>0</v>
      </c>
      <c r="D305" s="5">
        <f t="shared" si="1"/>
        <v>0</v>
      </c>
    </row>
    <row r="306" spans="2:4">
      <c r="B306" s="5">
        <f>SUMIF(Pagamenti!E$2:E1240,A306,Pagamenti!D$2:D1240)</f>
        <v>0</v>
      </c>
      <c r="C306" s="17">
        <f>IFERROR(VLOOKUP(A306,'Codici ATECO 2022'!A$2:C1240,3),0)</f>
        <v>0</v>
      </c>
      <c r="D306" s="5">
        <f t="shared" si="1"/>
        <v>0</v>
      </c>
    </row>
    <row r="307" spans="2:4">
      <c r="B307" s="5">
        <f>SUMIF(Pagamenti!E$2:E1240,A307,Pagamenti!D$2:D1240)</f>
        <v>0</v>
      </c>
      <c r="C307" s="17">
        <f>IFERROR(VLOOKUP(A307,'Codici ATECO 2022'!A$2:C1240,3),0)</f>
        <v>0</v>
      </c>
      <c r="D307" s="5">
        <f t="shared" si="1"/>
        <v>0</v>
      </c>
    </row>
    <row r="308" spans="2:4">
      <c r="B308" s="5">
        <f>SUMIF(Pagamenti!E$2:E1240,A308,Pagamenti!D$2:D1240)</f>
        <v>0</v>
      </c>
      <c r="C308" s="17">
        <f>IFERROR(VLOOKUP(A308,'Codici ATECO 2022'!A$2:C1240,3),0)</f>
        <v>0</v>
      </c>
      <c r="D308" s="5">
        <f t="shared" si="1"/>
        <v>0</v>
      </c>
    </row>
    <row r="309" spans="2:4">
      <c r="B309" s="5">
        <f>SUMIF(Pagamenti!E$2:E1240,A309,Pagamenti!D$2:D1240)</f>
        <v>0</v>
      </c>
      <c r="C309" s="17">
        <f>IFERROR(VLOOKUP(A309,'Codici ATECO 2022'!A$2:C1240,3),0)</f>
        <v>0</v>
      </c>
      <c r="D309" s="5">
        <f t="shared" si="1"/>
        <v>0</v>
      </c>
    </row>
    <row r="310" spans="2:4">
      <c r="B310" s="5">
        <f>SUMIF(Pagamenti!E$2:E1240,A310,Pagamenti!D$2:D1240)</f>
        <v>0</v>
      </c>
      <c r="C310" s="17">
        <f>IFERROR(VLOOKUP(A310,'Codici ATECO 2022'!A$2:C1240,3),0)</f>
        <v>0</v>
      </c>
      <c r="D310" s="5">
        <f t="shared" si="1"/>
        <v>0</v>
      </c>
    </row>
    <row r="311" spans="2:4">
      <c r="B311" s="5">
        <f>SUMIF(Pagamenti!E$2:E1240,A311,Pagamenti!D$2:D1240)</f>
        <v>0</v>
      </c>
      <c r="C311" s="17">
        <f>IFERROR(VLOOKUP(A311,'Codici ATECO 2022'!A$2:C1240,3),0)</f>
        <v>0</v>
      </c>
      <c r="D311" s="5">
        <f t="shared" si="1"/>
        <v>0</v>
      </c>
    </row>
    <row r="312" spans="2:4">
      <c r="B312" s="5">
        <f>SUMIF(Pagamenti!E$2:E1240,A312,Pagamenti!D$2:D1240)</f>
        <v>0</v>
      </c>
      <c r="C312" s="17">
        <f>IFERROR(VLOOKUP(A312,'Codici ATECO 2022'!A$2:C1240,3),0)</f>
        <v>0</v>
      </c>
      <c r="D312" s="5">
        <f t="shared" si="1"/>
        <v>0</v>
      </c>
    </row>
    <row r="313" spans="2:4">
      <c r="B313" s="5">
        <f>SUMIF(Pagamenti!E$2:E1240,A313,Pagamenti!D$2:D1240)</f>
        <v>0</v>
      </c>
      <c r="C313" s="17">
        <f>IFERROR(VLOOKUP(A313,'Codici ATECO 2022'!A$2:C1240,3),0)</f>
        <v>0</v>
      </c>
      <c r="D313" s="5">
        <f t="shared" si="1"/>
        <v>0</v>
      </c>
    </row>
    <row r="314" spans="2:4">
      <c r="B314" s="5">
        <f>SUMIF(Pagamenti!E$2:E1240,A314,Pagamenti!D$2:D1240)</f>
        <v>0</v>
      </c>
      <c r="C314" s="17">
        <f>IFERROR(VLOOKUP(A314,'Codici ATECO 2022'!A$2:C1240,3),0)</f>
        <v>0</v>
      </c>
      <c r="D314" s="5">
        <f t="shared" si="1"/>
        <v>0</v>
      </c>
    </row>
    <row r="315" spans="2:4">
      <c r="B315" s="5">
        <f>SUMIF(Pagamenti!E$2:E1240,A315,Pagamenti!D$2:D1240)</f>
        <v>0</v>
      </c>
      <c r="C315" s="17">
        <f>IFERROR(VLOOKUP(A315,'Codici ATECO 2022'!A$2:C1240,3),0)</f>
        <v>0</v>
      </c>
      <c r="D315" s="5">
        <f t="shared" si="1"/>
        <v>0</v>
      </c>
    </row>
    <row r="316" spans="2:4">
      <c r="B316" s="5">
        <f>SUMIF(Pagamenti!E$2:E1240,A316,Pagamenti!D$2:D1240)</f>
        <v>0</v>
      </c>
      <c r="C316" s="17">
        <f>IFERROR(VLOOKUP(A316,'Codici ATECO 2022'!A$2:C1240,3),0)</f>
        <v>0</v>
      </c>
      <c r="D316" s="5">
        <f t="shared" si="1"/>
        <v>0</v>
      </c>
    </row>
    <row r="317" spans="2:4">
      <c r="B317" s="5">
        <f>SUMIF(Pagamenti!E$2:E1240,A317,Pagamenti!D$2:D1240)</f>
        <v>0</v>
      </c>
      <c r="C317" s="17">
        <f>IFERROR(VLOOKUP(A317,'Codici ATECO 2022'!A$2:C1240,3),0)</f>
        <v>0</v>
      </c>
      <c r="D317" s="5">
        <f t="shared" si="1"/>
        <v>0</v>
      </c>
    </row>
    <row r="318" spans="2:4">
      <c r="B318" s="5">
        <f>SUMIF(Pagamenti!E$2:E1240,A318,Pagamenti!D$2:D1240)</f>
        <v>0</v>
      </c>
      <c r="C318" s="17">
        <f>IFERROR(VLOOKUP(A318,'Codici ATECO 2022'!A$2:C1240,3),0)</f>
        <v>0</v>
      </c>
      <c r="D318" s="5">
        <f t="shared" si="1"/>
        <v>0</v>
      </c>
    </row>
    <row r="319" spans="2:4">
      <c r="B319" s="5">
        <f>SUMIF(Pagamenti!E$2:E1240,A319,Pagamenti!D$2:D1240)</f>
        <v>0</v>
      </c>
      <c r="C319" s="17">
        <f>IFERROR(VLOOKUP(A319,'Codici ATECO 2022'!A$2:C1240,3),0)</f>
        <v>0</v>
      </c>
      <c r="D319" s="5">
        <f t="shared" si="1"/>
        <v>0</v>
      </c>
    </row>
    <row r="320" spans="2:4">
      <c r="B320" s="5">
        <f>SUMIF(Pagamenti!E$2:E1240,A320,Pagamenti!D$2:D1240)</f>
        <v>0</v>
      </c>
      <c r="C320" s="17">
        <f>IFERROR(VLOOKUP(A320,'Codici ATECO 2022'!A$2:C1240,3),0)</f>
        <v>0</v>
      </c>
      <c r="D320" s="5">
        <f t="shared" si="1"/>
        <v>0</v>
      </c>
    </row>
    <row r="321" spans="2:4">
      <c r="B321" s="5">
        <f>SUMIF(Pagamenti!E$2:E1240,A321,Pagamenti!D$2:D1240)</f>
        <v>0</v>
      </c>
      <c r="C321" s="17">
        <f>IFERROR(VLOOKUP(A321,'Codici ATECO 2022'!A$2:C1240,3),0)</f>
        <v>0</v>
      </c>
      <c r="D321" s="5">
        <f t="shared" si="1"/>
        <v>0</v>
      </c>
    </row>
    <row r="322" spans="2:4">
      <c r="B322" s="5">
        <f>SUMIF(Pagamenti!E$2:E1240,A322,Pagamenti!D$2:D1240)</f>
        <v>0</v>
      </c>
      <c r="C322" s="17">
        <f>IFERROR(VLOOKUP(A322,'Codici ATECO 2022'!A$2:C1240,3),0)</f>
        <v>0</v>
      </c>
      <c r="D322" s="5">
        <f t="shared" si="1"/>
        <v>0</v>
      </c>
    </row>
    <row r="323" spans="2:4">
      <c r="B323" s="5">
        <f>SUMIF(Pagamenti!E$2:E1240,A323,Pagamenti!D$2:D1240)</f>
        <v>0</v>
      </c>
      <c r="C323" s="17">
        <f>IFERROR(VLOOKUP(A323,'Codici ATECO 2022'!A$2:C1240,3),0)</f>
        <v>0</v>
      </c>
      <c r="D323" s="5">
        <f t="shared" si="1"/>
        <v>0</v>
      </c>
    </row>
    <row r="324" spans="2:4">
      <c r="B324" s="5">
        <f>SUMIF(Pagamenti!E$2:E1240,A324,Pagamenti!D$2:D1240)</f>
        <v>0</v>
      </c>
      <c r="C324" s="17">
        <f>IFERROR(VLOOKUP(A324,'Codici ATECO 2022'!A$2:C1240,3),0)</f>
        <v>0</v>
      </c>
      <c r="D324" s="5">
        <f t="shared" si="1"/>
        <v>0</v>
      </c>
    </row>
    <row r="325" spans="2:4">
      <c r="B325" s="5">
        <f>SUMIF(Pagamenti!E$2:E1240,A325,Pagamenti!D$2:D1240)</f>
        <v>0</v>
      </c>
      <c r="C325" s="17">
        <f>IFERROR(VLOOKUP(A325,'Codici ATECO 2022'!A$2:C1240,3),0)</f>
        <v>0</v>
      </c>
      <c r="D325" s="5">
        <f t="shared" si="1"/>
        <v>0</v>
      </c>
    </row>
    <row r="326" spans="2:4">
      <c r="B326" s="5">
        <f>SUMIF(Pagamenti!E$2:E1240,A326,Pagamenti!D$2:D1240)</f>
        <v>0</v>
      </c>
      <c r="C326" s="17">
        <f>IFERROR(VLOOKUP(A326,'Codici ATECO 2022'!A$2:C1240,3),0)</f>
        <v>0</v>
      </c>
      <c r="D326" s="5">
        <f t="shared" si="1"/>
        <v>0</v>
      </c>
    </row>
    <row r="327" spans="2:4">
      <c r="B327" s="5">
        <f>SUMIF(Pagamenti!E$2:E1240,A327,Pagamenti!D$2:D1240)</f>
        <v>0</v>
      </c>
      <c r="C327" s="17">
        <f>IFERROR(VLOOKUP(A327,'Codici ATECO 2022'!A$2:C1240,3),0)</f>
        <v>0</v>
      </c>
      <c r="D327" s="5">
        <f t="shared" si="1"/>
        <v>0</v>
      </c>
    </row>
    <row r="328" spans="2:4">
      <c r="B328" s="5">
        <f>SUMIF(Pagamenti!E$2:E1240,A328,Pagamenti!D$2:D1240)</f>
        <v>0</v>
      </c>
      <c r="C328" s="17">
        <f>IFERROR(VLOOKUP(A328,'Codici ATECO 2022'!A$2:C1240,3),0)</f>
        <v>0</v>
      </c>
      <c r="D328" s="5">
        <f t="shared" si="1"/>
        <v>0</v>
      </c>
    </row>
    <row r="329" spans="2:4">
      <c r="B329" s="5">
        <f>SUMIF(Pagamenti!E$2:E1240,A329,Pagamenti!D$2:D1240)</f>
        <v>0</v>
      </c>
      <c r="C329" s="17">
        <f>IFERROR(VLOOKUP(A329,'Codici ATECO 2022'!A$2:C1240,3),0)</f>
        <v>0</v>
      </c>
      <c r="D329" s="5">
        <f t="shared" si="1"/>
        <v>0</v>
      </c>
    </row>
    <row r="330" spans="2:4">
      <c r="B330" s="5">
        <f>SUMIF(Pagamenti!E$2:E1240,A330,Pagamenti!D$2:D1240)</f>
        <v>0</v>
      </c>
      <c r="C330" s="17">
        <f>IFERROR(VLOOKUP(A330,'Codici ATECO 2022'!A$2:C1240,3),0)</f>
        <v>0</v>
      </c>
      <c r="D330" s="5">
        <f t="shared" si="1"/>
        <v>0</v>
      </c>
    </row>
    <row r="331" spans="2:4">
      <c r="B331" s="5">
        <f>SUMIF(Pagamenti!E$2:E1240,A331,Pagamenti!D$2:D1240)</f>
        <v>0</v>
      </c>
      <c r="C331" s="17">
        <f>IFERROR(VLOOKUP(A331,'Codici ATECO 2022'!A$2:C1240,3),0)</f>
        <v>0</v>
      </c>
      <c r="D331" s="5">
        <f t="shared" si="1"/>
        <v>0</v>
      </c>
    </row>
    <row r="332" spans="2:4">
      <c r="B332" s="5">
        <f>SUMIF(Pagamenti!E$2:E1240,A332,Pagamenti!D$2:D1240)</f>
        <v>0</v>
      </c>
      <c r="C332" s="17">
        <f>IFERROR(VLOOKUP(A332,'Codici ATECO 2022'!A$2:C1240,3),0)</f>
        <v>0</v>
      </c>
      <c r="D332" s="5">
        <f t="shared" si="1"/>
        <v>0</v>
      </c>
    </row>
    <row r="333" spans="2:4">
      <c r="B333" s="5">
        <f>SUMIF(Pagamenti!E$2:E1240,A333,Pagamenti!D$2:D1240)</f>
        <v>0</v>
      </c>
      <c r="C333" s="17">
        <f>IFERROR(VLOOKUP(A333,'Codici ATECO 2022'!A$2:C1240,3),0)</f>
        <v>0</v>
      </c>
      <c r="D333" s="5">
        <f t="shared" si="1"/>
        <v>0</v>
      </c>
    </row>
    <row r="334" spans="2:4">
      <c r="B334" s="5">
        <f>SUMIF(Pagamenti!E$2:E1240,A334,Pagamenti!D$2:D1240)</f>
        <v>0</v>
      </c>
      <c r="C334" s="17">
        <f>IFERROR(VLOOKUP(A334,'Codici ATECO 2022'!A$2:C1240,3),0)</f>
        <v>0</v>
      </c>
      <c r="D334" s="5">
        <f t="shared" si="1"/>
        <v>0</v>
      </c>
    </row>
    <row r="335" spans="2:4">
      <c r="B335" s="5">
        <f>SUMIF(Pagamenti!E$2:E1240,A335,Pagamenti!D$2:D1240)</f>
        <v>0</v>
      </c>
      <c r="C335" s="17">
        <f>IFERROR(VLOOKUP(A335,'Codici ATECO 2022'!A$2:C1240,3),0)</f>
        <v>0</v>
      </c>
      <c r="D335" s="5">
        <f t="shared" si="1"/>
        <v>0</v>
      </c>
    </row>
    <row r="336" spans="2:4">
      <c r="B336" s="5">
        <f>SUMIF(Pagamenti!E$2:E1240,A336,Pagamenti!D$2:D1240)</f>
        <v>0</v>
      </c>
      <c r="C336" s="17">
        <f>IFERROR(VLOOKUP(A336,'Codici ATECO 2022'!A$2:C1240,3),0)</f>
        <v>0</v>
      </c>
      <c r="D336" s="5">
        <f t="shared" si="1"/>
        <v>0</v>
      </c>
    </row>
    <row r="337" spans="2:4">
      <c r="B337" s="5">
        <f>SUMIF(Pagamenti!E$2:E1240,A337,Pagamenti!D$2:D1240)</f>
        <v>0</v>
      </c>
      <c r="C337" s="17">
        <f>IFERROR(VLOOKUP(A337,'Codici ATECO 2022'!A$2:C1240,3),0)</f>
        <v>0</v>
      </c>
      <c r="D337" s="5">
        <f t="shared" si="1"/>
        <v>0</v>
      </c>
    </row>
    <row r="338" spans="2:4">
      <c r="B338" s="5">
        <f>SUMIF(Pagamenti!E$2:E1240,A338,Pagamenti!D$2:D1240)</f>
        <v>0</v>
      </c>
      <c r="C338" s="17">
        <f>IFERROR(VLOOKUP(A338,'Codici ATECO 2022'!A$2:C1240,3),0)</f>
        <v>0</v>
      </c>
      <c r="D338" s="5">
        <f t="shared" si="1"/>
        <v>0</v>
      </c>
    </row>
    <row r="339" spans="2:4">
      <c r="B339" s="5">
        <f>SUMIF(Pagamenti!E$2:E1240,A339,Pagamenti!D$2:D1240)</f>
        <v>0</v>
      </c>
      <c r="C339" s="17">
        <f>IFERROR(VLOOKUP(A339,'Codici ATECO 2022'!A$2:C1240,3),0)</f>
        <v>0</v>
      </c>
      <c r="D339" s="5">
        <f t="shared" si="1"/>
        <v>0</v>
      </c>
    </row>
    <row r="340" spans="2:4">
      <c r="B340" s="5">
        <f>SUMIF(Pagamenti!E$2:E1240,A340,Pagamenti!D$2:D1240)</f>
        <v>0</v>
      </c>
      <c r="C340" s="17">
        <f>IFERROR(VLOOKUP(A340,'Codici ATECO 2022'!A$2:C1240,3),0)</f>
        <v>0</v>
      </c>
      <c r="D340" s="5">
        <f t="shared" si="1"/>
        <v>0</v>
      </c>
    </row>
    <row r="341" spans="2:4">
      <c r="B341" s="5">
        <f>SUMIF(Pagamenti!E$2:E1240,A341,Pagamenti!D$2:D1240)</f>
        <v>0</v>
      </c>
      <c r="C341" s="17">
        <f>IFERROR(VLOOKUP(A341,'Codici ATECO 2022'!A$2:C1240,3),0)</f>
        <v>0</v>
      </c>
      <c r="D341" s="5">
        <f t="shared" si="1"/>
        <v>0</v>
      </c>
    </row>
    <row r="342" spans="2:4">
      <c r="B342" s="5">
        <f>SUMIF(Pagamenti!E$2:E1240,A342,Pagamenti!D$2:D1240)</f>
        <v>0</v>
      </c>
      <c r="C342" s="17">
        <f>IFERROR(VLOOKUP(A342,'Codici ATECO 2022'!A$2:C1240,3),0)</f>
        <v>0</v>
      </c>
      <c r="D342" s="5">
        <f t="shared" si="1"/>
        <v>0</v>
      </c>
    </row>
    <row r="343" spans="2:4">
      <c r="B343" s="5">
        <f>SUMIF(Pagamenti!E$2:E1240,A343,Pagamenti!D$2:D1240)</f>
        <v>0</v>
      </c>
      <c r="C343" s="17">
        <f>IFERROR(VLOOKUP(A343,'Codici ATECO 2022'!A$2:C1240,3),0)</f>
        <v>0</v>
      </c>
      <c r="D343" s="5">
        <f t="shared" si="1"/>
        <v>0</v>
      </c>
    </row>
    <row r="344" spans="2:4">
      <c r="B344" s="5">
        <f>SUMIF(Pagamenti!E$2:E1240,A344,Pagamenti!D$2:D1240)</f>
        <v>0</v>
      </c>
      <c r="C344" s="17">
        <f>IFERROR(VLOOKUP(A344,'Codici ATECO 2022'!A$2:C1240,3),0)</f>
        <v>0</v>
      </c>
      <c r="D344" s="5">
        <f t="shared" si="1"/>
        <v>0</v>
      </c>
    </row>
    <row r="345" spans="2:4">
      <c r="B345" s="5">
        <f>SUMIF(Pagamenti!E$2:E1240,A345,Pagamenti!D$2:D1240)</f>
        <v>0</v>
      </c>
      <c r="C345" s="17">
        <f>IFERROR(VLOOKUP(A345,'Codici ATECO 2022'!A$2:C1240,3),0)</f>
        <v>0</v>
      </c>
      <c r="D345" s="5">
        <f t="shared" si="1"/>
        <v>0</v>
      </c>
    </row>
    <row r="346" spans="2:4">
      <c r="B346" s="5">
        <f>SUMIF(Pagamenti!E$2:E1240,A346,Pagamenti!D$2:D1240)</f>
        <v>0</v>
      </c>
      <c r="C346" s="17">
        <f>IFERROR(VLOOKUP(A346,'Codici ATECO 2022'!A$2:C1240,3),0)</f>
        <v>0</v>
      </c>
      <c r="D346" s="5">
        <f t="shared" si="1"/>
        <v>0</v>
      </c>
    </row>
    <row r="347" spans="2:4">
      <c r="B347" s="5">
        <f>SUMIF(Pagamenti!E$2:E1240,A347,Pagamenti!D$2:D1240)</f>
        <v>0</v>
      </c>
      <c r="C347" s="17">
        <f>IFERROR(VLOOKUP(A347,'Codici ATECO 2022'!A$2:C1240,3),0)</f>
        <v>0</v>
      </c>
      <c r="D347" s="5">
        <f t="shared" si="1"/>
        <v>0</v>
      </c>
    </row>
    <row r="348" spans="2:4">
      <c r="B348" s="5">
        <f>SUMIF(Pagamenti!E$2:E1240,A348,Pagamenti!D$2:D1240)</f>
        <v>0</v>
      </c>
      <c r="C348" s="17">
        <f>IFERROR(VLOOKUP(A348,'Codici ATECO 2022'!A$2:C1240,3),0)</f>
        <v>0</v>
      </c>
      <c r="D348" s="5">
        <f t="shared" si="1"/>
        <v>0</v>
      </c>
    </row>
    <row r="349" spans="2:4">
      <c r="B349" s="5">
        <f>SUMIF(Pagamenti!E$2:E1240,A349,Pagamenti!D$2:D1240)</f>
        <v>0</v>
      </c>
      <c r="C349" s="17">
        <f>IFERROR(VLOOKUP(A349,'Codici ATECO 2022'!A$2:C1240,3),0)</f>
        <v>0</v>
      </c>
      <c r="D349" s="5">
        <f t="shared" si="1"/>
        <v>0</v>
      </c>
    </row>
    <row r="350" spans="2:4">
      <c r="B350" s="5">
        <f>SUMIF(Pagamenti!E$2:E1240,A350,Pagamenti!D$2:D1240)</f>
        <v>0</v>
      </c>
      <c r="C350" s="17">
        <f>IFERROR(VLOOKUP(A350,'Codici ATECO 2022'!A$2:C1240,3),0)</f>
        <v>0</v>
      </c>
      <c r="D350" s="5">
        <f t="shared" si="1"/>
        <v>0</v>
      </c>
    </row>
    <row r="351" spans="2:4">
      <c r="B351" s="5">
        <f>SUMIF(Pagamenti!E$2:E1240,A351,Pagamenti!D$2:D1240)</f>
        <v>0</v>
      </c>
      <c r="C351" s="17">
        <f>IFERROR(VLOOKUP(A351,'Codici ATECO 2022'!A$2:C1240,3),0)</f>
        <v>0</v>
      </c>
      <c r="D351" s="5">
        <f t="shared" si="1"/>
        <v>0</v>
      </c>
    </row>
    <row r="352" spans="2:4">
      <c r="B352" s="5">
        <f>SUMIF(Pagamenti!E$2:E1240,A352,Pagamenti!D$2:D1240)</f>
        <v>0</v>
      </c>
      <c r="C352" s="17">
        <f>IFERROR(VLOOKUP(A352,'Codici ATECO 2022'!A$2:C1240,3),0)</f>
        <v>0</v>
      </c>
      <c r="D352" s="5">
        <f t="shared" si="1"/>
        <v>0</v>
      </c>
    </row>
    <row r="353" spans="2:4">
      <c r="B353" s="5">
        <f>SUMIF(Pagamenti!E$2:E1240,A353,Pagamenti!D$2:D1240)</f>
        <v>0</v>
      </c>
      <c r="C353" s="17">
        <f>IFERROR(VLOOKUP(A353,'Codici ATECO 2022'!A$2:C1240,3),0)</f>
        <v>0</v>
      </c>
      <c r="D353" s="5">
        <f t="shared" si="1"/>
        <v>0</v>
      </c>
    </row>
    <row r="354" spans="2:4">
      <c r="B354" s="5">
        <f>SUMIF(Pagamenti!E$2:E1240,A354,Pagamenti!D$2:D1240)</f>
        <v>0</v>
      </c>
      <c r="C354" s="17">
        <f>IFERROR(VLOOKUP(A354,'Codici ATECO 2022'!A$2:C1240,3),0)</f>
        <v>0</v>
      </c>
      <c r="D354" s="5">
        <f t="shared" si="1"/>
        <v>0</v>
      </c>
    </row>
    <row r="355" spans="2:4">
      <c r="B355" s="5">
        <f>SUMIF(Pagamenti!E$2:E1240,A355,Pagamenti!D$2:D1240)</f>
        <v>0</v>
      </c>
      <c r="C355" s="17">
        <f>IFERROR(VLOOKUP(A355,'Codici ATECO 2022'!A$2:C1240,3),0)</f>
        <v>0</v>
      </c>
      <c r="D355" s="5">
        <f t="shared" si="1"/>
        <v>0</v>
      </c>
    </row>
    <row r="356" spans="2:4">
      <c r="B356" s="5">
        <f>SUMIF(Pagamenti!E$2:E1240,A356,Pagamenti!D$2:D1240)</f>
        <v>0</v>
      </c>
      <c r="C356" s="17">
        <f>IFERROR(VLOOKUP(A356,'Codici ATECO 2022'!A$2:C1240,3),0)</f>
        <v>0</v>
      </c>
      <c r="D356" s="5">
        <f t="shared" si="1"/>
        <v>0</v>
      </c>
    </row>
    <row r="357" spans="2:4">
      <c r="B357" s="5">
        <f>SUMIF(Pagamenti!E$2:E1240,A357,Pagamenti!D$2:D1240)</f>
        <v>0</v>
      </c>
      <c r="C357" s="17">
        <f>IFERROR(VLOOKUP(A357,'Codici ATECO 2022'!A$2:C1240,3),0)</f>
        <v>0</v>
      </c>
      <c r="D357" s="5">
        <f t="shared" si="1"/>
        <v>0</v>
      </c>
    </row>
    <row r="358" spans="2:4">
      <c r="B358" s="5">
        <f>SUMIF(Pagamenti!E$2:E1240,A358,Pagamenti!D$2:D1240)</f>
        <v>0</v>
      </c>
      <c r="C358" s="17">
        <f>IFERROR(VLOOKUP(A358,'Codici ATECO 2022'!A$2:C1240,3),0)</f>
        <v>0</v>
      </c>
      <c r="D358" s="5">
        <f t="shared" si="1"/>
        <v>0</v>
      </c>
    </row>
    <row r="359" spans="2:4">
      <c r="B359" s="5">
        <f>SUMIF(Pagamenti!E$2:E1240,A359,Pagamenti!D$2:D1240)</f>
        <v>0</v>
      </c>
      <c r="C359" s="17">
        <f>IFERROR(VLOOKUP(A359,'Codici ATECO 2022'!A$2:C1240,3),0)</f>
        <v>0</v>
      </c>
      <c r="D359" s="5">
        <f t="shared" si="1"/>
        <v>0</v>
      </c>
    </row>
    <row r="360" spans="2:4">
      <c r="B360" s="5">
        <f>SUMIF(Pagamenti!E$2:E1240,A360,Pagamenti!D$2:D1240)</f>
        <v>0</v>
      </c>
      <c r="C360" s="17">
        <f>IFERROR(VLOOKUP(A360,'Codici ATECO 2022'!A$2:C1240,3),0)</f>
        <v>0</v>
      </c>
      <c r="D360" s="5">
        <f t="shared" si="1"/>
        <v>0</v>
      </c>
    </row>
    <row r="361" spans="2:4">
      <c r="B361" s="5">
        <f>SUMIF(Pagamenti!E$2:E1240,A361,Pagamenti!D$2:D1240)</f>
        <v>0</v>
      </c>
      <c r="C361" s="17">
        <f>IFERROR(VLOOKUP(A361,'Codici ATECO 2022'!A$2:C1240,3),0)</f>
        <v>0</v>
      </c>
      <c r="D361" s="5">
        <f t="shared" si="1"/>
        <v>0</v>
      </c>
    </row>
    <row r="362" spans="2:4">
      <c r="B362" s="5">
        <f>SUMIF(Pagamenti!E$2:E1240,A362,Pagamenti!D$2:D1240)</f>
        <v>0</v>
      </c>
      <c r="C362" s="17">
        <f>IFERROR(VLOOKUP(A362,'Codici ATECO 2022'!A$2:C1240,3),0)</f>
        <v>0</v>
      </c>
      <c r="D362" s="5">
        <f t="shared" si="1"/>
        <v>0</v>
      </c>
    </row>
    <row r="363" spans="2:4">
      <c r="B363" s="5">
        <f>SUMIF(Pagamenti!E$2:E1240,A363,Pagamenti!D$2:D1240)</f>
        <v>0</v>
      </c>
      <c r="C363" s="17">
        <f>IFERROR(VLOOKUP(A363,'Codici ATECO 2022'!A$2:C1240,3),0)</f>
        <v>0</v>
      </c>
      <c r="D363" s="5">
        <f t="shared" si="1"/>
        <v>0</v>
      </c>
    </row>
    <row r="364" spans="2:4">
      <c r="B364" s="5">
        <f>SUMIF(Pagamenti!E$2:E1240,A364,Pagamenti!D$2:D1240)</f>
        <v>0</v>
      </c>
      <c r="C364" s="17">
        <f>IFERROR(VLOOKUP(A364,'Codici ATECO 2022'!A$2:C1240,3),0)</f>
        <v>0</v>
      </c>
      <c r="D364" s="5">
        <f t="shared" si="1"/>
        <v>0</v>
      </c>
    </row>
    <row r="365" spans="2:4">
      <c r="B365" s="5">
        <f>SUMIF(Pagamenti!E$2:E1240,A365,Pagamenti!D$2:D1240)</f>
        <v>0</v>
      </c>
      <c r="C365" s="17">
        <f>IFERROR(VLOOKUP(A365,'Codici ATECO 2022'!A$2:C1240,3),0)</f>
        <v>0</v>
      </c>
      <c r="D365" s="5">
        <f t="shared" si="1"/>
        <v>0</v>
      </c>
    </row>
    <row r="366" spans="2:4">
      <c r="B366" s="5">
        <f>SUMIF(Pagamenti!E$2:E1240,A366,Pagamenti!D$2:D1240)</f>
        <v>0</v>
      </c>
      <c r="C366" s="17">
        <f>IFERROR(VLOOKUP(A366,'Codici ATECO 2022'!A$2:C1240,3),0)</f>
        <v>0</v>
      </c>
      <c r="D366" s="5">
        <f t="shared" si="1"/>
        <v>0</v>
      </c>
    </row>
    <row r="367" spans="2:4">
      <c r="B367" s="5">
        <f>SUMIF(Pagamenti!E$2:E1240,A367,Pagamenti!D$2:D1240)</f>
        <v>0</v>
      </c>
      <c r="C367" s="17">
        <f>IFERROR(VLOOKUP(A367,'Codici ATECO 2022'!A$2:C1240,3),0)</f>
        <v>0</v>
      </c>
      <c r="D367" s="5">
        <f t="shared" si="1"/>
        <v>0</v>
      </c>
    </row>
    <row r="368" spans="2:4">
      <c r="B368" s="5">
        <f>SUMIF(Pagamenti!E$2:E1240,A368,Pagamenti!D$2:D1240)</f>
        <v>0</v>
      </c>
      <c r="C368" s="17">
        <f>IFERROR(VLOOKUP(A368,'Codici ATECO 2022'!A$2:C1240,3),0)</f>
        <v>0</v>
      </c>
      <c r="D368" s="5">
        <f t="shared" si="1"/>
        <v>0</v>
      </c>
    </row>
    <row r="369" spans="2:4">
      <c r="B369" s="5">
        <f>SUMIF(Pagamenti!E$2:E1240,A369,Pagamenti!D$2:D1240)</f>
        <v>0</v>
      </c>
      <c r="C369" s="17">
        <f>IFERROR(VLOOKUP(A369,'Codici ATECO 2022'!A$2:C1240,3),0)</f>
        <v>0</v>
      </c>
      <c r="D369" s="5">
        <f t="shared" si="1"/>
        <v>0</v>
      </c>
    </row>
    <row r="370" spans="2:4">
      <c r="B370" s="5">
        <f>SUMIF(Pagamenti!E$2:E1240,A370,Pagamenti!D$2:D1240)</f>
        <v>0</v>
      </c>
      <c r="C370" s="17">
        <f>IFERROR(VLOOKUP(A370,'Codici ATECO 2022'!A$2:C1240,3),0)</f>
        <v>0</v>
      </c>
      <c r="D370" s="5">
        <f t="shared" si="1"/>
        <v>0</v>
      </c>
    </row>
    <row r="371" spans="2:4">
      <c r="B371" s="5">
        <f>SUMIF(Pagamenti!E$2:E1240,A371,Pagamenti!D$2:D1240)</f>
        <v>0</v>
      </c>
      <c r="C371" s="17">
        <f>IFERROR(VLOOKUP(A371,'Codici ATECO 2022'!A$2:C1240,3),0)</f>
        <v>0</v>
      </c>
      <c r="D371" s="5">
        <f t="shared" si="1"/>
        <v>0</v>
      </c>
    </row>
    <row r="372" spans="2:4">
      <c r="B372" s="5">
        <f>SUMIF(Pagamenti!E$2:E1240,A372,Pagamenti!D$2:D1240)</f>
        <v>0</v>
      </c>
      <c r="C372" s="17">
        <f>IFERROR(VLOOKUP(A372,'Codici ATECO 2022'!A$2:C1240,3),0)</f>
        <v>0</v>
      </c>
      <c r="D372" s="5">
        <f t="shared" si="1"/>
        <v>0</v>
      </c>
    </row>
    <row r="373" spans="2:4">
      <c r="B373" s="5">
        <f>SUMIF(Pagamenti!E$2:E1240,A373,Pagamenti!D$2:D1240)</f>
        <v>0</v>
      </c>
      <c r="C373" s="17">
        <f>IFERROR(VLOOKUP(A373,'Codici ATECO 2022'!A$2:C1240,3),0)</f>
        <v>0</v>
      </c>
      <c r="D373" s="5">
        <f t="shared" si="1"/>
        <v>0</v>
      </c>
    </row>
    <row r="374" spans="2:4">
      <c r="B374" s="5">
        <f>SUMIF(Pagamenti!E$2:E1240,A374,Pagamenti!D$2:D1240)</f>
        <v>0</v>
      </c>
      <c r="C374" s="17">
        <f>IFERROR(VLOOKUP(A374,'Codici ATECO 2022'!A$2:C1240,3),0)</f>
        <v>0</v>
      </c>
      <c r="D374" s="5">
        <f t="shared" si="1"/>
        <v>0</v>
      </c>
    </row>
    <row r="375" spans="2:4">
      <c r="B375" s="5">
        <f>SUMIF(Pagamenti!E$2:E1240,A375,Pagamenti!D$2:D1240)</f>
        <v>0</v>
      </c>
      <c r="C375" s="17">
        <f>IFERROR(VLOOKUP(A375,'Codici ATECO 2022'!A$2:C1240,3),0)</f>
        <v>0</v>
      </c>
      <c r="D375" s="5">
        <f t="shared" si="1"/>
        <v>0</v>
      </c>
    </row>
    <row r="376" spans="2:4">
      <c r="B376" s="5">
        <f>SUMIF(Pagamenti!E$2:E1240,A376,Pagamenti!D$2:D1240)</f>
        <v>0</v>
      </c>
      <c r="C376" s="17">
        <f>IFERROR(VLOOKUP(A376,'Codici ATECO 2022'!A$2:C1240,3),0)</f>
        <v>0</v>
      </c>
      <c r="D376" s="5">
        <f t="shared" si="1"/>
        <v>0</v>
      </c>
    </row>
    <row r="377" spans="2:4">
      <c r="B377" s="5">
        <f>SUMIF(Pagamenti!E$2:E1240,A377,Pagamenti!D$2:D1240)</f>
        <v>0</v>
      </c>
      <c r="C377" s="17">
        <f>IFERROR(VLOOKUP(A377,'Codici ATECO 2022'!A$2:C1240,3),0)</f>
        <v>0</v>
      </c>
      <c r="D377" s="5">
        <f t="shared" si="1"/>
        <v>0</v>
      </c>
    </row>
    <row r="378" spans="2:4">
      <c r="B378" s="5">
        <f>SUMIF(Pagamenti!E$2:E1240,A378,Pagamenti!D$2:D1240)</f>
        <v>0</v>
      </c>
      <c r="C378" s="17">
        <f>IFERROR(VLOOKUP(A378,'Codici ATECO 2022'!A$2:C1240,3),0)</f>
        <v>0</v>
      </c>
      <c r="D378" s="5">
        <f t="shared" si="1"/>
        <v>0</v>
      </c>
    </row>
    <row r="379" spans="2:4">
      <c r="B379" s="5">
        <f>SUMIF(Pagamenti!E$2:E1240,A379,Pagamenti!D$2:D1240)</f>
        <v>0</v>
      </c>
      <c r="C379" s="17">
        <f>IFERROR(VLOOKUP(A379,'Codici ATECO 2022'!A$2:C1240,3),0)</f>
        <v>0</v>
      </c>
      <c r="D379" s="5">
        <f t="shared" si="1"/>
        <v>0</v>
      </c>
    </row>
    <row r="380" spans="2:4">
      <c r="B380" s="5">
        <f>SUMIF(Pagamenti!E$2:E1240,A380,Pagamenti!D$2:D1240)</f>
        <v>0</v>
      </c>
      <c r="C380" s="17">
        <f>IFERROR(VLOOKUP(A380,'Codici ATECO 2022'!A$2:C1240,3),0)</f>
        <v>0</v>
      </c>
      <c r="D380" s="5">
        <f t="shared" si="1"/>
        <v>0</v>
      </c>
    </row>
    <row r="381" spans="2:4">
      <c r="B381" s="5">
        <f>SUMIF(Pagamenti!E$2:E1240,A381,Pagamenti!D$2:D1240)</f>
        <v>0</v>
      </c>
      <c r="C381" s="17">
        <f>IFERROR(VLOOKUP(A381,'Codici ATECO 2022'!A$2:C1240,3),0)</f>
        <v>0</v>
      </c>
      <c r="D381" s="5">
        <f t="shared" si="1"/>
        <v>0</v>
      </c>
    </row>
    <row r="382" spans="2:4">
      <c r="B382" s="5">
        <f>SUMIF(Pagamenti!E$2:E1240,A382,Pagamenti!D$2:D1240)</f>
        <v>0</v>
      </c>
      <c r="C382" s="17">
        <f>IFERROR(VLOOKUP(A382,'Codici ATECO 2022'!A$2:C1240,3),0)</f>
        <v>0</v>
      </c>
      <c r="D382" s="5">
        <f t="shared" si="1"/>
        <v>0</v>
      </c>
    </row>
    <row r="383" spans="2:4">
      <c r="B383" s="5">
        <f>SUMIF(Pagamenti!E$2:E1240,A383,Pagamenti!D$2:D1240)</f>
        <v>0</v>
      </c>
      <c r="C383" s="17">
        <f>IFERROR(VLOOKUP(A383,'Codici ATECO 2022'!A$2:C1240,3),0)</f>
        <v>0</v>
      </c>
      <c r="D383" s="5">
        <f t="shared" si="1"/>
        <v>0</v>
      </c>
    </row>
    <row r="384" spans="2:4">
      <c r="B384" s="5">
        <f>SUMIF(Pagamenti!E$2:E1240,A384,Pagamenti!D$2:D1240)</f>
        <v>0</v>
      </c>
      <c r="C384" s="17">
        <f>IFERROR(VLOOKUP(A384,'Codici ATECO 2022'!A$2:C1240,3),0)</f>
        <v>0</v>
      </c>
      <c r="D384" s="5">
        <f t="shared" si="1"/>
        <v>0</v>
      </c>
    </row>
    <row r="385" spans="2:4">
      <c r="B385" s="5">
        <f>SUMIF(Pagamenti!E$2:E1240,A385,Pagamenti!D$2:D1240)</f>
        <v>0</v>
      </c>
      <c r="C385" s="17">
        <f>IFERROR(VLOOKUP(A385,'Codici ATECO 2022'!A$2:C1240,3),0)</f>
        <v>0</v>
      </c>
      <c r="D385" s="5">
        <f t="shared" si="1"/>
        <v>0</v>
      </c>
    </row>
    <row r="386" spans="2:4">
      <c r="B386" s="5">
        <f>SUMIF(Pagamenti!E$2:E1240,A386,Pagamenti!D$2:D1240)</f>
        <v>0</v>
      </c>
      <c r="C386" s="17">
        <f>IFERROR(VLOOKUP(A386,'Codici ATECO 2022'!A$2:C1240,3),0)</f>
        <v>0</v>
      </c>
      <c r="D386" s="5">
        <f t="shared" si="1"/>
        <v>0</v>
      </c>
    </row>
    <row r="387" spans="2:4">
      <c r="B387" s="5">
        <f>SUMIF(Pagamenti!E$2:E1240,A387,Pagamenti!D$2:D1240)</f>
        <v>0</v>
      </c>
      <c r="C387" s="17">
        <f>IFERROR(VLOOKUP(A387,'Codici ATECO 2022'!A$2:C1240,3),0)</f>
        <v>0</v>
      </c>
      <c r="D387" s="5">
        <f t="shared" si="1"/>
        <v>0</v>
      </c>
    </row>
    <row r="388" spans="2:4">
      <c r="B388" s="5">
        <f>SUMIF(Pagamenti!E$2:E1240,A388,Pagamenti!D$2:D1240)</f>
        <v>0</v>
      </c>
      <c r="C388" s="17">
        <f>IFERROR(VLOOKUP(A388,'Codici ATECO 2022'!A$2:C1240,3),0)</f>
        <v>0</v>
      </c>
      <c r="D388" s="5">
        <f t="shared" si="1"/>
        <v>0</v>
      </c>
    </row>
    <row r="389" spans="2:4">
      <c r="B389" s="5">
        <f>SUMIF(Pagamenti!E$2:E1240,A389,Pagamenti!D$2:D1240)</f>
        <v>0</v>
      </c>
      <c r="C389" s="17">
        <f>IFERROR(VLOOKUP(A389,'Codici ATECO 2022'!A$2:C1240,3),0)</f>
        <v>0</v>
      </c>
      <c r="D389" s="5">
        <f t="shared" si="1"/>
        <v>0</v>
      </c>
    </row>
    <row r="390" spans="2:4">
      <c r="B390" s="5">
        <f>SUMIF(Pagamenti!E$2:E1240,A390,Pagamenti!D$2:D1240)</f>
        <v>0</v>
      </c>
      <c r="C390" s="17">
        <f>IFERROR(VLOOKUP(A390,'Codici ATECO 2022'!A$2:C1240,3),0)</f>
        <v>0</v>
      </c>
      <c r="D390" s="5">
        <f t="shared" si="1"/>
        <v>0</v>
      </c>
    </row>
    <row r="391" spans="2:4">
      <c r="B391" s="5">
        <f>SUMIF(Pagamenti!E$2:E1240,A391,Pagamenti!D$2:D1240)</f>
        <v>0</v>
      </c>
      <c r="C391" s="17">
        <f>IFERROR(VLOOKUP(A391,'Codici ATECO 2022'!A$2:C1240,3),0)</f>
        <v>0</v>
      </c>
      <c r="D391" s="5">
        <f t="shared" si="1"/>
        <v>0</v>
      </c>
    </row>
    <row r="392" spans="2:4">
      <c r="B392" s="5">
        <f>SUMIF(Pagamenti!E$2:E1240,A392,Pagamenti!D$2:D1240)</f>
        <v>0</v>
      </c>
      <c r="C392" s="17">
        <f>IFERROR(VLOOKUP(A392,'Codici ATECO 2022'!A$2:C1240,3),0)</f>
        <v>0</v>
      </c>
      <c r="D392" s="5">
        <f t="shared" si="1"/>
        <v>0</v>
      </c>
    </row>
    <row r="393" spans="2:4">
      <c r="B393" s="5">
        <f>SUMIF(Pagamenti!E$2:E1240,A393,Pagamenti!D$2:D1240)</f>
        <v>0</v>
      </c>
      <c r="C393" s="17">
        <f>IFERROR(VLOOKUP(A393,'Codici ATECO 2022'!A$2:C1240,3),0)</f>
        <v>0</v>
      </c>
      <c r="D393" s="5">
        <f t="shared" si="1"/>
        <v>0</v>
      </c>
    </row>
    <row r="394" spans="2:4">
      <c r="B394" s="5">
        <f>SUMIF(Pagamenti!E$2:E1240,A394,Pagamenti!D$2:D1240)</f>
        <v>0</v>
      </c>
      <c r="C394" s="17">
        <f>IFERROR(VLOOKUP(A394,'Codici ATECO 2022'!A$2:C1240,3),0)</f>
        <v>0</v>
      </c>
      <c r="D394" s="5">
        <f t="shared" si="1"/>
        <v>0</v>
      </c>
    </row>
    <row r="395" spans="2:4">
      <c r="B395" s="5">
        <f>SUMIF(Pagamenti!E$2:E1240,A395,Pagamenti!D$2:D1240)</f>
        <v>0</v>
      </c>
      <c r="C395" s="17">
        <f>IFERROR(VLOOKUP(A395,'Codici ATECO 2022'!A$2:C1240,3),0)</f>
        <v>0</v>
      </c>
      <c r="D395" s="5">
        <f t="shared" si="1"/>
        <v>0</v>
      </c>
    </row>
    <row r="396" spans="2:4">
      <c r="B396" s="5">
        <f>SUMIF(Pagamenti!E$2:E1240,A396,Pagamenti!D$2:D1240)</f>
        <v>0</v>
      </c>
      <c r="C396" s="17">
        <f>IFERROR(VLOOKUP(A396,'Codici ATECO 2022'!A$2:C1240,3),0)</f>
        <v>0</v>
      </c>
      <c r="D396" s="5">
        <f t="shared" si="1"/>
        <v>0</v>
      </c>
    </row>
    <row r="397" spans="2:4">
      <c r="B397" s="5">
        <f>SUMIF(Pagamenti!E$2:E1240,A397,Pagamenti!D$2:D1240)</f>
        <v>0</v>
      </c>
      <c r="C397" s="17">
        <f>IFERROR(VLOOKUP(A397,'Codici ATECO 2022'!A$2:C1240,3),0)</f>
        <v>0</v>
      </c>
      <c r="D397" s="5">
        <f t="shared" si="1"/>
        <v>0</v>
      </c>
    </row>
    <row r="398" spans="2:4">
      <c r="B398" s="5">
        <f>SUMIF(Pagamenti!E$2:E1240,A398,Pagamenti!D$2:D1240)</f>
        <v>0</v>
      </c>
      <c r="C398" s="17">
        <f>IFERROR(VLOOKUP(A398,'Codici ATECO 2022'!A$2:C1240,3),0)</f>
        <v>0</v>
      </c>
      <c r="D398" s="5">
        <f t="shared" si="1"/>
        <v>0</v>
      </c>
    </row>
    <row r="399" spans="2:4">
      <c r="B399" s="5">
        <f>SUMIF(Pagamenti!E$2:E1240,A399,Pagamenti!D$2:D1240)</f>
        <v>0</v>
      </c>
      <c r="C399" s="17">
        <f>IFERROR(VLOOKUP(A399,'Codici ATECO 2022'!A$2:C1240,3),0)</f>
        <v>0</v>
      </c>
      <c r="D399" s="5">
        <f t="shared" si="1"/>
        <v>0</v>
      </c>
    </row>
    <row r="400" spans="2:4">
      <c r="B400" s="5">
        <f>SUMIF(Pagamenti!E$2:E1240,A400,Pagamenti!D$2:D1240)</f>
        <v>0</v>
      </c>
      <c r="C400" s="17">
        <f>IFERROR(VLOOKUP(A400,'Codici ATECO 2022'!A$2:C1240,3),0)</f>
        <v>0</v>
      </c>
      <c r="D400" s="5">
        <f t="shared" si="1"/>
        <v>0</v>
      </c>
    </row>
    <row r="401" spans="2:4">
      <c r="B401" s="5">
        <f>SUMIF(Pagamenti!E$2:E1240,A401,Pagamenti!D$2:D1240)</f>
        <v>0</v>
      </c>
      <c r="C401" s="17">
        <f>IFERROR(VLOOKUP(A401,'Codici ATECO 2022'!A$2:C1240,3),0)</f>
        <v>0</v>
      </c>
      <c r="D401" s="5">
        <f t="shared" si="1"/>
        <v>0</v>
      </c>
    </row>
    <row r="402" spans="2:4">
      <c r="B402" s="5">
        <f>SUMIF(Pagamenti!E$2:E1240,A402,Pagamenti!D$2:D1240)</f>
        <v>0</v>
      </c>
      <c r="C402" s="17">
        <f>IFERROR(VLOOKUP(A402,'Codici ATECO 2022'!A$2:C1240,3),0)</f>
        <v>0</v>
      </c>
      <c r="D402" s="5">
        <f t="shared" si="1"/>
        <v>0</v>
      </c>
    </row>
    <row r="403" spans="2:4">
      <c r="B403" s="5">
        <f>SUMIF(Pagamenti!E$2:E1240,A403,Pagamenti!D$2:D1240)</f>
        <v>0</v>
      </c>
      <c r="C403" s="17">
        <f>IFERROR(VLOOKUP(A403,'Codici ATECO 2022'!A$2:C1240,3),0)</f>
        <v>0</v>
      </c>
      <c r="D403" s="5">
        <f t="shared" si="1"/>
        <v>0</v>
      </c>
    </row>
    <row r="404" spans="2:4">
      <c r="B404" s="5">
        <f>SUMIF(Pagamenti!E$2:E1240,A404,Pagamenti!D$2:D1240)</f>
        <v>0</v>
      </c>
      <c r="C404" s="17">
        <f>IFERROR(VLOOKUP(A404,'Codici ATECO 2022'!A$2:C1240,3),0)</f>
        <v>0</v>
      </c>
      <c r="D404" s="5">
        <f t="shared" si="1"/>
        <v>0</v>
      </c>
    </row>
    <row r="405" spans="2:4">
      <c r="B405" s="5">
        <f>SUMIF(Pagamenti!E$2:E1240,A405,Pagamenti!D$2:D1240)</f>
        <v>0</v>
      </c>
      <c r="C405" s="17">
        <f>IFERROR(VLOOKUP(A405,'Codici ATECO 2022'!A$2:C1240,3),0)</f>
        <v>0</v>
      </c>
      <c r="D405" s="5">
        <f t="shared" si="1"/>
        <v>0</v>
      </c>
    </row>
    <row r="406" spans="2:4">
      <c r="B406" s="5">
        <f>SUMIF(Pagamenti!E$2:E1240,A406,Pagamenti!D$2:D1240)</f>
        <v>0</v>
      </c>
      <c r="C406" s="17">
        <f>IFERROR(VLOOKUP(A406,'Codici ATECO 2022'!A$2:C1240,3),0)</f>
        <v>0</v>
      </c>
      <c r="D406" s="5">
        <f t="shared" si="1"/>
        <v>0</v>
      </c>
    </row>
    <row r="407" spans="2:4">
      <c r="B407" s="5">
        <f>SUMIF(Pagamenti!E$2:E1240,A407,Pagamenti!D$2:D1240)</f>
        <v>0</v>
      </c>
      <c r="C407" s="17">
        <f>IFERROR(VLOOKUP(A407,'Codici ATECO 2022'!A$2:C1240,3),0)</f>
        <v>0</v>
      </c>
      <c r="D407" s="5">
        <f t="shared" si="1"/>
        <v>0</v>
      </c>
    </row>
    <row r="408" spans="2:4">
      <c r="B408" s="5">
        <f>SUMIF(Pagamenti!E$2:E1240,A408,Pagamenti!D$2:D1240)</f>
        <v>0</v>
      </c>
      <c r="C408" s="17">
        <f>IFERROR(VLOOKUP(A408,'Codici ATECO 2022'!A$2:C1240,3),0)</f>
        <v>0</v>
      </c>
      <c r="D408" s="5">
        <f t="shared" si="1"/>
        <v>0</v>
      </c>
    </row>
    <row r="409" spans="2:4">
      <c r="B409" s="5">
        <f>SUMIF(Pagamenti!E$2:E1240,A409,Pagamenti!D$2:D1240)</f>
        <v>0</v>
      </c>
      <c r="C409" s="17">
        <f>IFERROR(VLOOKUP(A409,'Codici ATECO 2022'!A$2:C1240,3),0)</f>
        <v>0</v>
      </c>
      <c r="D409" s="5">
        <f t="shared" si="1"/>
        <v>0</v>
      </c>
    </row>
    <row r="410" spans="2:4">
      <c r="B410" s="5">
        <f>SUMIF(Pagamenti!E$2:E1240,A410,Pagamenti!D$2:D1240)</f>
        <v>0</v>
      </c>
      <c r="C410" s="17">
        <f>IFERROR(VLOOKUP(A410,'Codici ATECO 2022'!A$2:C1240,3),0)</f>
        <v>0</v>
      </c>
      <c r="D410" s="5">
        <f t="shared" si="1"/>
        <v>0</v>
      </c>
    </row>
    <row r="411" spans="2:4">
      <c r="B411" s="5">
        <f>SUMIF(Pagamenti!E$2:E1240,A411,Pagamenti!D$2:D1240)</f>
        <v>0</v>
      </c>
      <c r="C411" s="17">
        <f>IFERROR(VLOOKUP(A411,'Codici ATECO 2022'!A$2:C1240,3),0)</f>
        <v>0</v>
      </c>
      <c r="D411" s="5">
        <f t="shared" si="1"/>
        <v>0</v>
      </c>
    </row>
    <row r="412" spans="2:4">
      <c r="B412" s="5">
        <f>SUMIF(Pagamenti!E$2:E1240,A412,Pagamenti!D$2:D1240)</f>
        <v>0</v>
      </c>
      <c r="C412" s="17">
        <f>IFERROR(VLOOKUP(A412,'Codici ATECO 2022'!A$2:C1240,3),0)</f>
        <v>0</v>
      </c>
      <c r="D412" s="5">
        <f t="shared" si="1"/>
        <v>0</v>
      </c>
    </row>
    <row r="413" spans="2:4">
      <c r="B413" s="5">
        <f>SUMIF(Pagamenti!E$2:E1240,A413,Pagamenti!D$2:D1240)</f>
        <v>0</v>
      </c>
      <c r="C413" s="17">
        <f>IFERROR(VLOOKUP(A413,'Codici ATECO 2022'!A$2:C1240,3),0)</f>
        <v>0</v>
      </c>
      <c r="D413" s="5">
        <f t="shared" si="1"/>
        <v>0</v>
      </c>
    </row>
    <row r="414" spans="2:4">
      <c r="B414" s="5">
        <f>SUMIF(Pagamenti!E$2:E1240,A414,Pagamenti!D$2:D1240)</f>
        <v>0</v>
      </c>
      <c r="C414" s="17">
        <f>IFERROR(VLOOKUP(A414,'Codici ATECO 2022'!A$2:C1240,3),0)</f>
        <v>0</v>
      </c>
      <c r="D414" s="5">
        <f t="shared" si="1"/>
        <v>0</v>
      </c>
    </row>
    <row r="415" spans="2:4">
      <c r="B415" s="5">
        <f>SUMIF(Pagamenti!E$2:E1240,A415,Pagamenti!D$2:D1240)</f>
        <v>0</v>
      </c>
      <c r="C415" s="17">
        <f>IFERROR(VLOOKUP(A415,'Codici ATECO 2022'!A$2:C1240,3),0)</f>
        <v>0</v>
      </c>
      <c r="D415" s="5">
        <f t="shared" si="1"/>
        <v>0</v>
      </c>
    </row>
    <row r="416" spans="2:4">
      <c r="B416" s="5">
        <f>SUMIF(Pagamenti!E$2:E1240,A416,Pagamenti!D$2:D1240)</f>
        <v>0</v>
      </c>
      <c r="C416" s="17">
        <f>IFERROR(VLOOKUP(A416,'Codici ATECO 2022'!A$2:C1240,3),0)</f>
        <v>0</v>
      </c>
      <c r="D416" s="5">
        <f t="shared" si="1"/>
        <v>0</v>
      </c>
    </row>
    <row r="417" spans="2:4">
      <c r="B417" s="5">
        <f>SUMIF(Pagamenti!E$2:E1240,A417,Pagamenti!D$2:D1240)</f>
        <v>0</v>
      </c>
      <c r="C417" s="17">
        <f>IFERROR(VLOOKUP(A417,'Codici ATECO 2022'!A$2:C1240,3),0)</f>
        <v>0</v>
      </c>
      <c r="D417" s="5">
        <f t="shared" si="1"/>
        <v>0</v>
      </c>
    </row>
    <row r="418" spans="2:4">
      <c r="B418" s="5">
        <f>SUMIF(Pagamenti!E$2:E1240,A418,Pagamenti!D$2:D1240)</f>
        <v>0</v>
      </c>
      <c r="C418" s="17">
        <f>IFERROR(VLOOKUP(A418,'Codici ATECO 2022'!A$2:C1240,3),0)</f>
        <v>0</v>
      </c>
      <c r="D418" s="5">
        <f t="shared" si="1"/>
        <v>0</v>
      </c>
    </row>
    <row r="419" spans="2:4">
      <c r="B419" s="5">
        <f>SUMIF(Pagamenti!E$2:E1240,A419,Pagamenti!D$2:D1240)</f>
        <v>0</v>
      </c>
      <c r="C419" s="17">
        <f>IFERROR(VLOOKUP(A419,'Codici ATECO 2022'!A$2:C1240,3),0)</f>
        <v>0</v>
      </c>
      <c r="D419" s="5">
        <f t="shared" si="1"/>
        <v>0</v>
      </c>
    </row>
    <row r="420" spans="2:4">
      <c r="B420" s="5">
        <f>SUMIF(Pagamenti!E$2:E1240,A420,Pagamenti!D$2:D1240)</f>
        <v>0</v>
      </c>
      <c r="C420" s="17">
        <f>IFERROR(VLOOKUP(A420,'Codici ATECO 2022'!A$2:C1240,3),0)</f>
        <v>0</v>
      </c>
      <c r="D420" s="5">
        <f t="shared" si="1"/>
        <v>0</v>
      </c>
    </row>
    <row r="421" spans="2:4">
      <c r="B421" s="5">
        <f>SUMIF(Pagamenti!E$2:E1240,A421,Pagamenti!D$2:D1240)</f>
        <v>0</v>
      </c>
      <c r="C421" s="17">
        <f>IFERROR(VLOOKUP(A421,'Codici ATECO 2022'!A$2:C1240,3),0)</f>
        <v>0</v>
      </c>
      <c r="D421" s="5">
        <f t="shared" si="1"/>
        <v>0</v>
      </c>
    </row>
    <row r="422" spans="2:4">
      <c r="B422" s="5">
        <f>SUMIF(Pagamenti!E$2:E1240,A422,Pagamenti!D$2:D1240)</f>
        <v>0</v>
      </c>
      <c r="C422" s="17">
        <f>IFERROR(VLOOKUP(A422,'Codici ATECO 2022'!A$2:C1240,3),0)</f>
        <v>0</v>
      </c>
      <c r="D422" s="5">
        <f t="shared" si="1"/>
        <v>0</v>
      </c>
    </row>
    <row r="423" spans="2:4">
      <c r="B423" s="5">
        <f>SUMIF(Pagamenti!E$2:E1240,A423,Pagamenti!D$2:D1240)</f>
        <v>0</v>
      </c>
      <c r="C423" s="17">
        <f>IFERROR(VLOOKUP(A423,'Codici ATECO 2022'!A$2:C1240,3),0)</f>
        <v>0</v>
      </c>
      <c r="D423" s="5">
        <f t="shared" si="1"/>
        <v>0</v>
      </c>
    </row>
    <row r="424" spans="2:4">
      <c r="B424" s="5">
        <f>SUMIF(Pagamenti!E$2:E1240,A424,Pagamenti!D$2:D1240)</f>
        <v>0</v>
      </c>
      <c r="C424" s="17">
        <f>IFERROR(VLOOKUP(A424,'Codici ATECO 2022'!A$2:C1240,3),0)</f>
        <v>0</v>
      </c>
      <c r="D424" s="5">
        <f t="shared" si="1"/>
        <v>0</v>
      </c>
    </row>
    <row r="425" spans="2:4">
      <c r="B425" s="5">
        <f>SUMIF(Pagamenti!E$2:E1240,A425,Pagamenti!D$2:D1240)</f>
        <v>0</v>
      </c>
      <c r="C425" s="17">
        <f>IFERROR(VLOOKUP(A425,'Codici ATECO 2022'!A$2:C1240,3),0)</f>
        <v>0</v>
      </c>
      <c r="D425" s="5">
        <f t="shared" si="1"/>
        <v>0</v>
      </c>
    </row>
    <row r="426" spans="2:4">
      <c r="B426" s="5">
        <f>SUMIF(Pagamenti!E$2:E1240,A426,Pagamenti!D$2:D1240)</f>
        <v>0</v>
      </c>
      <c r="C426" s="17">
        <f>IFERROR(VLOOKUP(A426,'Codici ATECO 2022'!A$2:C1240,3),0)</f>
        <v>0</v>
      </c>
      <c r="D426" s="5">
        <f t="shared" si="1"/>
        <v>0</v>
      </c>
    </row>
    <row r="427" spans="2:4">
      <c r="B427" s="5">
        <f>SUMIF(Pagamenti!E$2:E1240,A427,Pagamenti!D$2:D1240)</f>
        <v>0</v>
      </c>
      <c r="C427" s="17">
        <f>IFERROR(VLOOKUP(A427,'Codici ATECO 2022'!A$2:C1240,3),0)</f>
        <v>0</v>
      </c>
      <c r="D427" s="5">
        <f t="shared" si="1"/>
        <v>0</v>
      </c>
    </row>
    <row r="428" spans="2:4">
      <c r="B428" s="5">
        <f>SUMIF(Pagamenti!E$2:E1240,A428,Pagamenti!D$2:D1240)</f>
        <v>0</v>
      </c>
      <c r="C428" s="17">
        <f>IFERROR(VLOOKUP(A428,'Codici ATECO 2022'!A$2:C1240,3),0)</f>
        <v>0</v>
      </c>
      <c r="D428" s="5">
        <f t="shared" si="1"/>
        <v>0</v>
      </c>
    </row>
    <row r="429" spans="2:4">
      <c r="B429" s="5">
        <f>SUMIF(Pagamenti!E$2:E1240,A429,Pagamenti!D$2:D1240)</f>
        <v>0</v>
      </c>
      <c r="C429" s="17">
        <f>IFERROR(VLOOKUP(A429,'Codici ATECO 2022'!A$2:C1240,3),0)</f>
        <v>0</v>
      </c>
      <c r="D429" s="5">
        <f t="shared" si="1"/>
        <v>0</v>
      </c>
    </row>
    <row r="430" spans="2:4">
      <c r="B430" s="5">
        <f>SUMIF(Pagamenti!E$2:E1240,A430,Pagamenti!D$2:D1240)</f>
        <v>0</v>
      </c>
      <c r="C430" s="17">
        <f>IFERROR(VLOOKUP(A430,'Codici ATECO 2022'!A$2:C1240,3),0)</f>
        <v>0</v>
      </c>
      <c r="D430" s="5">
        <f t="shared" si="1"/>
        <v>0</v>
      </c>
    </row>
    <row r="431" spans="2:4">
      <c r="B431" s="5">
        <f>SUMIF(Pagamenti!E$2:E1240,A431,Pagamenti!D$2:D1240)</f>
        <v>0</v>
      </c>
      <c r="C431" s="17">
        <f>IFERROR(VLOOKUP(A431,'Codici ATECO 2022'!A$2:C1240,3),0)</f>
        <v>0</v>
      </c>
      <c r="D431" s="5">
        <f t="shared" si="1"/>
        <v>0</v>
      </c>
    </row>
    <row r="432" spans="2:4">
      <c r="B432" s="5">
        <f>SUMIF(Pagamenti!E$2:E1240,A432,Pagamenti!D$2:D1240)</f>
        <v>0</v>
      </c>
      <c r="C432" s="17">
        <f>IFERROR(VLOOKUP(A432,'Codici ATECO 2022'!A$2:C1240,3),0)</f>
        <v>0</v>
      </c>
      <c r="D432" s="5">
        <f t="shared" si="1"/>
        <v>0</v>
      </c>
    </row>
    <row r="433" spans="2:4">
      <c r="B433" s="5">
        <f>SUMIF(Pagamenti!E$2:E1240,A433,Pagamenti!D$2:D1240)</f>
        <v>0</v>
      </c>
      <c r="C433" s="17">
        <f>IFERROR(VLOOKUP(A433,'Codici ATECO 2022'!A$2:C1240,3),0)</f>
        <v>0</v>
      </c>
      <c r="D433" s="5">
        <f t="shared" si="1"/>
        <v>0</v>
      </c>
    </row>
    <row r="434" spans="2:4">
      <c r="B434" s="5">
        <f>SUMIF(Pagamenti!E$2:E1240,A434,Pagamenti!D$2:D1240)</f>
        <v>0</v>
      </c>
      <c r="C434" s="17">
        <f>IFERROR(VLOOKUP(A434,'Codici ATECO 2022'!A$2:C1240,3),0)</f>
        <v>0</v>
      </c>
      <c r="D434" s="5">
        <f t="shared" si="1"/>
        <v>0</v>
      </c>
    </row>
    <row r="435" spans="2:4">
      <c r="B435" s="5">
        <f>SUMIF(Pagamenti!E$2:E1240,A435,Pagamenti!D$2:D1240)</f>
        <v>0</v>
      </c>
      <c r="C435" s="17">
        <f>IFERROR(VLOOKUP(A435,'Codici ATECO 2022'!A$2:C1240,3),0)</f>
        <v>0</v>
      </c>
      <c r="D435" s="5">
        <f t="shared" si="1"/>
        <v>0</v>
      </c>
    </row>
    <row r="436" spans="2:4">
      <c r="B436" s="5">
        <f>SUMIF(Pagamenti!E$2:E1240,A436,Pagamenti!D$2:D1240)</f>
        <v>0</v>
      </c>
      <c r="C436" s="17">
        <f>IFERROR(VLOOKUP(A436,'Codici ATECO 2022'!A$2:C1240,3),0)</f>
        <v>0</v>
      </c>
      <c r="D436" s="5">
        <f t="shared" si="1"/>
        <v>0</v>
      </c>
    </row>
    <row r="437" spans="2:4">
      <c r="B437" s="5">
        <f>SUMIF(Pagamenti!E$2:E1240,A437,Pagamenti!D$2:D1240)</f>
        <v>0</v>
      </c>
      <c r="C437" s="17">
        <f>IFERROR(VLOOKUP(A437,'Codici ATECO 2022'!A$2:C1240,3),0)</f>
        <v>0</v>
      </c>
      <c r="D437" s="5">
        <f t="shared" si="1"/>
        <v>0</v>
      </c>
    </row>
    <row r="438" spans="2:4">
      <c r="B438" s="5">
        <f>SUMIF(Pagamenti!E$2:E1240,A438,Pagamenti!D$2:D1240)</f>
        <v>0</v>
      </c>
      <c r="C438" s="17">
        <f>IFERROR(VLOOKUP(A438,'Codici ATECO 2022'!A$2:C1240,3),0)</f>
        <v>0</v>
      </c>
      <c r="D438" s="5">
        <f t="shared" si="1"/>
        <v>0</v>
      </c>
    </row>
    <row r="439" spans="2:4">
      <c r="B439" s="5">
        <f>SUMIF(Pagamenti!E$2:E1240,A439,Pagamenti!D$2:D1240)</f>
        <v>0</v>
      </c>
      <c r="C439" s="17">
        <f>IFERROR(VLOOKUP(A439,'Codici ATECO 2022'!A$2:C1240,3),0)</f>
        <v>0</v>
      </c>
      <c r="D439" s="5">
        <f t="shared" si="1"/>
        <v>0</v>
      </c>
    </row>
    <row r="440" spans="2:4">
      <c r="B440" s="5">
        <f>SUMIF(Pagamenti!E$2:E1240,A440,Pagamenti!D$2:D1240)</f>
        <v>0</v>
      </c>
      <c r="C440" s="17">
        <f>IFERROR(VLOOKUP(A440,'Codici ATECO 2022'!A$2:C1240,3),0)</f>
        <v>0</v>
      </c>
      <c r="D440" s="5">
        <f t="shared" si="1"/>
        <v>0</v>
      </c>
    </row>
    <row r="441" spans="2:4">
      <c r="B441" s="5">
        <f>SUMIF(Pagamenti!E$2:E1240,A441,Pagamenti!D$2:D1240)</f>
        <v>0</v>
      </c>
      <c r="C441" s="17">
        <f>IFERROR(VLOOKUP(A441,'Codici ATECO 2022'!A$2:C1240,3),0)</f>
        <v>0</v>
      </c>
      <c r="D441" s="5">
        <f t="shared" si="1"/>
        <v>0</v>
      </c>
    </row>
    <row r="442" spans="2:4">
      <c r="B442" s="5">
        <f>SUMIF(Pagamenti!E$2:E1240,A442,Pagamenti!D$2:D1240)</f>
        <v>0</v>
      </c>
      <c r="C442" s="17">
        <f>IFERROR(VLOOKUP(A442,'Codici ATECO 2022'!A$2:C1240,3),0)</f>
        <v>0</v>
      </c>
      <c r="D442" s="5">
        <f t="shared" si="1"/>
        <v>0</v>
      </c>
    </row>
    <row r="443" spans="2:4">
      <c r="B443" s="5">
        <f>SUMIF(Pagamenti!E$2:E1240,A443,Pagamenti!D$2:D1240)</f>
        <v>0</v>
      </c>
      <c r="C443" s="17">
        <f>IFERROR(VLOOKUP(A443,'Codici ATECO 2022'!A$2:C1240,3),0)</f>
        <v>0</v>
      </c>
      <c r="D443" s="5">
        <f t="shared" si="1"/>
        <v>0</v>
      </c>
    </row>
    <row r="444" spans="2:4">
      <c r="B444" s="5">
        <f>SUMIF(Pagamenti!E$2:E1240,A444,Pagamenti!D$2:D1240)</f>
        <v>0</v>
      </c>
      <c r="C444" s="17">
        <f>IFERROR(VLOOKUP(A444,'Codici ATECO 2022'!A$2:C1240,3),0)</f>
        <v>0</v>
      </c>
      <c r="D444" s="5">
        <f t="shared" si="1"/>
        <v>0</v>
      </c>
    </row>
    <row r="445" spans="2:4">
      <c r="B445" s="5">
        <f>SUMIF(Pagamenti!E$2:E1240,A445,Pagamenti!D$2:D1240)</f>
        <v>0</v>
      </c>
      <c r="C445" s="17">
        <f>IFERROR(VLOOKUP(A445,'Codici ATECO 2022'!A$2:C1240,3),0)</f>
        <v>0</v>
      </c>
      <c r="D445" s="5">
        <f t="shared" si="1"/>
        <v>0</v>
      </c>
    </row>
    <row r="446" spans="2:4">
      <c r="B446" s="5">
        <f>SUMIF(Pagamenti!E$2:E1240,A446,Pagamenti!D$2:D1240)</f>
        <v>0</v>
      </c>
      <c r="C446" s="17">
        <f>IFERROR(VLOOKUP(A446,'Codici ATECO 2022'!A$2:C1240,3),0)</f>
        <v>0</v>
      </c>
      <c r="D446" s="5">
        <f t="shared" si="1"/>
        <v>0</v>
      </c>
    </row>
    <row r="447" spans="2:4">
      <c r="B447" s="5">
        <f>SUMIF(Pagamenti!E$2:E1240,A447,Pagamenti!D$2:D1240)</f>
        <v>0</v>
      </c>
      <c r="C447" s="17">
        <f>IFERROR(VLOOKUP(A447,'Codici ATECO 2022'!A$2:C1240,3),0)</f>
        <v>0</v>
      </c>
      <c r="D447" s="5">
        <f t="shared" si="1"/>
        <v>0</v>
      </c>
    </row>
    <row r="448" spans="2:4">
      <c r="B448" s="5">
        <f>SUMIF(Pagamenti!E$2:E1240,A448,Pagamenti!D$2:D1240)</f>
        <v>0</v>
      </c>
      <c r="C448" s="17">
        <f>IFERROR(VLOOKUP(A448,'Codici ATECO 2022'!A$2:C1240,3),0)</f>
        <v>0</v>
      </c>
      <c r="D448" s="5">
        <f t="shared" si="1"/>
        <v>0</v>
      </c>
    </row>
    <row r="449" spans="2:4">
      <c r="B449" s="5">
        <f>SUMIF(Pagamenti!E$2:E1240,A449,Pagamenti!D$2:D1240)</f>
        <v>0</v>
      </c>
      <c r="C449" s="17">
        <f>IFERROR(VLOOKUP(A449,'Codici ATECO 2022'!A$2:C1240,3),0)</f>
        <v>0</v>
      </c>
      <c r="D449" s="5">
        <f t="shared" si="1"/>
        <v>0</v>
      </c>
    </row>
    <row r="450" spans="2:4">
      <c r="B450" s="5">
        <f>SUMIF(Pagamenti!E$2:E1240,A450,Pagamenti!D$2:D1240)</f>
        <v>0</v>
      </c>
      <c r="C450" s="17">
        <f>IFERROR(VLOOKUP(A450,'Codici ATECO 2022'!A$2:C1240,3),0)</f>
        <v>0</v>
      </c>
      <c r="D450" s="5">
        <f t="shared" si="1"/>
        <v>0</v>
      </c>
    </row>
    <row r="451" spans="2:4">
      <c r="B451" s="5">
        <f>SUMIF(Pagamenti!E$2:E1240,A451,Pagamenti!D$2:D1240)</f>
        <v>0</v>
      </c>
      <c r="C451" s="17">
        <f>IFERROR(VLOOKUP(A451,'Codici ATECO 2022'!A$2:C1240,3),0)</f>
        <v>0</v>
      </c>
      <c r="D451" s="5">
        <f t="shared" si="1"/>
        <v>0</v>
      </c>
    </row>
    <row r="452" spans="2:4">
      <c r="B452" s="5">
        <f>SUMIF(Pagamenti!E$2:E1240,A452,Pagamenti!D$2:D1240)</f>
        <v>0</v>
      </c>
      <c r="C452" s="17">
        <f>IFERROR(VLOOKUP(A452,'Codici ATECO 2022'!A$2:C1240,3),0)</f>
        <v>0</v>
      </c>
      <c r="D452" s="5">
        <f t="shared" si="1"/>
        <v>0</v>
      </c>
    </row>
    <row r="453" spans="2:4">
      <c r="B453" s="5">
        <f>SUMIF(Pagamenti!E$2:E1240,A453,Pagamenti!D$2:D1240)</f>
        <v>0</v>
      </c>
      <c r="C453" s="17">
        <f>IFERROR(VLOOKUP(A453,'Codici ATECO 2022'!A$2:C1240,3),0)</f>
        <v>0</v>
      </c>
      <c r="D453" s="5">
        <f t="shared" si="1"/>
        <v>0</v>
      </c>
    </row>
    <row r="454" spans="2:4">
      <c r="B454" s="5">
        <f>SUMIF(Pagamenti!E$2:E1240,A454,Pagamenti!D$2:D1240)</f>
        <v>0</v>
      </c>
      <c r="C454" s="17">
        <f>IFERROR(VLOOKUP(A454,'Codici ATECO 2022'!A$2:C1240,3),0)</f>
        <v>0</v>
      </c>
      <c r="D454" s="5">
        <f t="shared" si="1"/>
        <v>0</v>
      </c>
    </row>
    <row r="455" spans="2:4">
      <c r="B455" s="5">
        <f>SUMIF(Pagamenti!E$2:E1240,A455,Pagamenti!D$2:D1240)</f>
        <v>0</v>
      </c>
      <c r="C455" s="17">
        <f>IFERROR(VLOOKUP(A455,'Codici ATECO 2022'!A$2:C1240,3),0)</f>
        <v>0</v>
      </c>
      <c r="D455" s="5">
        <f t="shared" si="1"/>
        <v>0</v>
      </c>
    </row>
    <row r="456" spans="2:4">
      <c r="B456" s="5">
        <f>SUMIF(Pagamenti!E$2:E1240,A456,Pagamenti!D$2:D1240)</f>
        <v>0</v>
      </c>
      <c r="C456" s="17">
        <f>IFERROR(VLOOKUP(A456,'Codici ATECO 2022'!A$2:C1240,3),0)</f>
        <v>0</v>
      </c>
      <c r="D456" s="5">
        <f t="shared" si="1"/>
        <v>0</v>
      </c>
    </row>
    <row r="457" spans="2:4">
      <c r="B457" s="5">
        <f>SUMIF(Pagamenti!E$2:E1240,A457,Pagamenti!D$2:D1240)</f>
        <v>0</v>
      </c>
      <c r="C457" s="17">
        <f>IFERROR(VLOOKUP(A457,'Codici ATECO 2022'!A$2:C1240,3),0)</f>
        <v>0</v>
      </c>
      <c r="D457" s="5">
        <f t="shared" si="1"/>
        <v>0</v>
      </c>
    </row>
    <row r="458" spans="2:4">
      <c r="B458" s="5">
        <f>SUMIF(Pagamenti!E$2:E1240,A458,Pagamenti!D$2:D1240)</f>
        <v>0</v>
      </c>
      <c r="C458" s="17">
        <f>IFERROR(VLOOKUP(A458,'Codici ATECO 2022'!A$2:C1240,3),0)</f>
        <v>0</v>
      </c>
      <c r="D458" s="5">
        <f t="shared" si="1"/>
        <v>0</v>
      </c>
    </row>
    <row r="459" spans="2:4">
      <c r="B459" s="5">
        <f>SUMIF(Pagamenti!E$2:E1240,A459,Pagamenti!D$2:D1240)</f>
        <v>0</v>
      </c>
      <c r="C459" s="17">
        <f>IFERROR(VLOOKUP(A459,'Codici ATECO 2022'!A$2:C1240,3),0)</f>
        <v>0</v>
      </c>
      <c r="D459" s="5">
        <f t="shared" si="1"/>
        <v>0</v>
      </c>
    </row>
    <row r="460" spans="2:4">
      <c r="B460" s="5">
        <f>SUMIF(Pagamenti!E$2:E1240,A460,Pagamenti!D$2:D1240)</f>
        <v>0</v>
      </c>
      <c r="C460" s="17">
        <f>IFERROR(VLOOKUP(A460,'Codici ATECO 2022'!A$2:C1240,3),0)</f>
        <v>0</v>
      </c>
      <c r="D460" s="5">
        <f t="shared" si="1"/>
        <v>0</v>
      </c>
    </row>
    <row r="461" spans="2:4">
      <c r="B461" s="5">
        <f>SUMIF(Pagamenti!E$2:E1240,A461,Pagamenti!D$2:D1240)</f>
        <v>0</v>
      </c>
      <c r="C461" s="17">
        <f>IFERROR(VLOOKUP(A461,'Codici ATECO 2022'!A$2:C1240,3),0)</f>
        <v>0</v>
      </c>
      <c r="D461" s="5">
        <f t="shared" si="1"/>
        <v>0</v>
      </c>
    </row>
    <row r="462" spans="2:4">
      <c r="B462" s="5">
        <f>SUMIF(Pagamenti!E$2:E1240,A462,Pagamenti!D$2:D1240)</f>
        <v>0</v>
      </c>
      <c r="C462" s="17">
        <f>IFERROR(VLOOKUP(A462,'Codici ATECO 2022'!A$2:C1240,3),0)</f>
        <v>0</v>
      </c>
      <c r="D462" s="5">
        <f t="shared" si="1"/>
        <v>0</v>
      </c>
    </row>
    <row r="463" spans="2:4">
      <c r="B463" s="5">
        <f>SUMIF(Pagamenti!E$2:E1240,A463,Pagamenti!D$2:D1240)</f>
        <v>0</v>
      </c>
      <c r="C463" s="17">
        <f>IFERROR(VLOOKUP(A463,'Codici ATECO 2022'!A$2:C1240,3),0)</f>
        <v>0</v>
      </c>
      <c r="D463" s="5">
        <f t="shared" si="1"/>
        <v>0</v>
      </c>
    </row>
    <row r="464" spans="2:4">
      <c r="B464" s="5">
        <f>SUMIF(Pagamenti!E$2:E1240,A464,Pagamenti!D$2:D1240)</f>
        <v>0</v>
      </c>
      <c r="C464" s="17">
        <f>IFERROR(VLOOKUP(A464,'Codici ATECO 2022'!A$2:C1240,3),0)</f>
        <v>0</v>
      </c>
      <c r="D464" s="5">
        <f t="shared" si="1"/>
        <v>0</v>
      </c>
    </row>
    <row r="465" spans="2:4">
      <c r="B465" s="5">
        <f>SUMIF(Pagamenti!E$2:E1240,A465,Pagamenti!D$2:D1240)</f>
        <v>0</v>
      </c>
      <c r="C465" s="17">
        <f>IFERROR(VLOOKUP(A465,'Codici ATECO 2022'!A$2:C1240,3),0)</f>
        <v>0</v>
      </c>
      <c r="D465" s="5">
        <f t="shared" si="1"/>
        <v>0</v>
      </c>
    </row>
    <row r="466" spans="2:4">
      <c r="B466" s="5">
        <f>SUMIF(Pagamenti!E$2:E1240,A466,Pagamenti!D$2:D1240)</f>
        <v>0</v>
      </c>
      <c r="C466" s="17">
        <f>IFERROR(VLOOKUP(A466,'Codici ATECO 2022'!A$2:C1240,3),0)</f>
        <v>0</v>
      </c>
      <c r="D466" s="5">
        <f t="shared" si="1"/>
        <v>0</v>
      </c>
    </row>
    <row r="467" spans="2:4">
      <c r="B467" s="5">
        <f>SUMIF(Pagamenti!E$2:E1240,A467,Pagamenti!D$2:D1240)</f>
        <v>0</v>
      </c>
      <c r="C467" s="17">
        <f>IFERROR(VLOOKUP(A467,'Codici ATECO 2022'!A$2:C1240,3),0)</f>
        <v>0</v>
      </c>
      <c r="D467" s="5">
        <f t="shared" si="1"/>
        <v>0</v>
      </c>
    </row>
    <row r="468" spans="2:4">
      <c r="B468" s="5">
        <f>SUMIF(Pagamenti!E$2:E1240,A468,Pagamenti!D$2:D1240)</f>
        <v>0</v>
      </c>
      <c r="C468" s="17">
        <f>IFERROR(VLOOKUP(A468,'Codici ATECO 2022'!A$2:C1240,3),0)</f>
        <v>0</v>
      </c>
      <c r="D468" s="5">
        <f t="shared" si="1"/>
        <v>0</v>
      </c>
    </row>
    <row r="469" spans="2:4">
      <c r="B469" s="5">
        <f>SUMIF(Pagamenti!E$2:E1240,A469,Pagamenti!D$2:D1240)</f>
        <v>0</v>
      </c>
      <c r="C469" s="17">
        <f>IFERROR(VLOOKUP(A469,'Codici ATECO 2022'!A$2:C1240,3),0)</f>
        <v>0</v>
      </c>
      <c r="D469" s="5">
        <f t="shared" si="1"/>
        <v>0</v>
      </c>
    </row>
    <row r="470" spans="2:4">
      <c r="B470" s="5">
        <f>SUMIF(Pagamenti!E$2:E1240,A470,Pagamenti!D$2:D1240)</f>
        <v>0</v>
      </c>
      <c r="C470" s="17">
        <f>IFERROR(VLOOKUP(A470,'Codici ATECO 2022'!A$2:C1240,3),0)</f>
        <v>0</v>
      </c>
      <c r="D470" s="5">
        <f t="shared" si="1"/>
        <v>0</v>
      </c>
    </row>
    <row r="471" spans="2:4">
      <c r="B471" s="5">
        <f>SUMIF(Pagamenti!E$2:E1240,A471,Pagamenti!D$2:D1240)</f>
        <v>0</v>
      </c>
      <c r="C471" s="17">
        <f>IFERROR(VLOOKUP(A471,'Codici ATECO 2022'!A$2:C1240,3),0)</f>
        <v>0</v>
      </c>
      <c r="D471" s="5">
        <f t="shared" si="1"/>
        <v>0</v>
      </c>
    </row>
    <row r="472" spans="2:4">
      <c r="B472" s="5">
        <f>SUMIF(Pagamenti!E$2:E1240,A472,Pagamenti!D$2:D1240)</f>
        <v>0</v>
      </c>
      <c r="C472" s="17">
        <f>IFERROR(VLOOKUP(A472,'Codici ATECO 2022'!A$2:C1240,3),0)</f>
        <v>0</v>
      </c>
      <c r="D472" s="5">
        <f t="shared" si="1"/>
        <v>0</v>
      </c>
    </row>
    <row r="473" spans="2:4">
      <c r="B473" s="5">
        <f>SUMIF(Pagamenti!E$2:E1240,A473,Pagamenti!D$2:D1240)</f>
        <v>0</v>
      </c>
      <c r="C473" s="17">
        <f>IFERROR(VLOOKUP(A473,'Codici ATECO 2022'!A$2:C1240,3),0)</f>
        <v>0</v>
      </c>
      <c r="D473" s="5">
        <f t="shared" si="1"/>
        <v>0</v>
      </c>
    </row>
    <row r="474" spans="2:4">
      <c r="B474" s="5">
        <f>SUMIF(Pagamenti!E$2:E1240,A474,Pagamenti!D$2:D1240)</f>
        <v>0</v>
      </c>
      <c r="C474" s="17">
        <f>IFERROR(VLOOKUP(A474,'Codici ATECO 2022'!A$2:C1240,3),0)</f>
        <v>0</v>
      </c>
      <c r="D474" s="5">
        <f t="shared" si="1"/>
        <v>0</v>
      </c>
    </row>
    <row r="475" spans="2:4">
      <c r="B475" s="5">
        <f>SUMIF(Pagamenti!E$2:E1240,A475,Pagamenti!D$2:D1240)</f>
        <v>0</v>
      </c>
      <c r="C475" s="17">
        <f>IFERROR(VLOOKUP(A475,'Codici ATECO 2022'!A$2:C1240,3),0)</f>
        <v>0</v>
      </c>
      <c r="D475" s="5">
        <f t="shared" si="1"/>
        <v>0</v>
      </c>
    </row>
    <row r="476" spans="2:4">
      <c r="B476" s="5">
        <f>SUMIF(Pagamenti!E$2:E1240,A476,Pagamenti!D$2:D1240)</f>
        <v>0</v>
      </c>
      <c r="C476" s="17">
        <f>IFERROR(VLOOKUP(A476,'Codici ATECO 2022'!A$2:C1240,3),0)</f>
        <v>0</v>
      </c>
      <c r="D476" s="5">
        <f t="shared" si="1"/>
        <v>0</v>
      </c>
    </row>
    <row r="477" spans="2:4">
      <c r="B477" s="5">
        <f>SUMIF(Pagamenti!E$2:E1240,A477,Pagamenti!D$2:D1240)</f>
        <v>0</v>
      </c>
      <c r="C477" s="17">
        <f>IFERROR(VLOOKUP(A477,'Codici ATECO 2022'!A$2:C1240,3),0)</f>
        <v>0</v>
      </c>
      <c r="D477" s="5">
        <f t="shared" si="1"/>
        <v>0</v>
      </c>
    </row>
    <row r="478" spans="2:4">
      <c r="B478" s="5">
        <f>SUMIF(Pagamenti!E$2:E1240,A478,Pagamenti!D$2:D1240)</f>
        <v>0</v>
      </c>
      <c r="C478" s="17">
        <f>IFERROR(VLOOKUP(A478,'Codici ATECO 2022'!A$2:C1240,3),0)</f>
        <v>0</v>
      </c>
      <c r="D478" s="5">
        <f t="shared" si="1"/>
        <v>0</v>
      </c>
    </row>
    <row r="479" spans="2:4">
      <c r="B479" s="5">
        <f>SUMIF(Pagamenti!E$2:E1240,A479,Pagamenti!D$2:D1240)</f>
        <v>0</v>
      </c>
      <c r="C479" s="17">
        <f>IFERROR(VLOOKUP(A479,'Codici ATECO 2022'!A$2:C1240,3),0)</f>
        <v>0</v>
      </c>
      <c r="D479" s="5">
        <f t="shared" si="1"/>
        <v>0</v>
      </c>
    </row>
    <row r="480" spans="2:4">
      <c r="B480" s="5">
        <f>SUMIF(Pagamenti!E$2:E1240,A480,Pagamenti!D$2:D1240)</f>
        <v>0</v>
      </c>
      <c r="C480" s="17">
        <f>IFERROR(VLOOKUP(A480,'Codici ATECO 2022'!A$2:C1240,3),0)</f>
        <v>0</v>
      </c>
      <c r="D480" s="5">
        <f t="shared" si="1"/>
        <v>0</v>
      </c>
    </row>
    <row r="481" spans="2:4">
      <c r="B481" s="5">
        <f>SUMIF(Pagamenti!E$2:E1240,A481,Pagamenti!D$2:D1240)</f>
        <v>0</v>
      </c>
      <c r="C481" s="17">
        <f>IFERROR(VLOOKUP(A481,'Codici ATECO 2022'!A$2:C1240,3),0)</f>
        <v>0</v>
      </c>
      <c r="D481" s="5">
        <f t="shared" si="1"/>
        <v>0</v>
      </c>
    </row>
    <row r="482" spans="2:4">
      <c r="B482" s="5">
        <f>SUMIF(Pagamenti!E$2:E1240,A482,Pagamenti!D$2:D1240)</f>
        <v>0</v>
      </c>
      <c r="C482" s="17">
        <f>IFERROR(VLOOKUP(A482,'Codici ATECO 2022'!A$2:C1240,3),0)</f>
        <v>0</v>
      </c>
      <c r="D482" s="5">
        <f t="shared" si="1"/>
        <v>0</v>
      </c>
    </row>
    <row r="483" spans="2:4">
      <c r="B483" s="5">
        <f>SUMIF(Pagamenti!E$2:E1240,A483,Pagamenti!D$2:D1240)</f>
        <v>0</v>
      </c>
      <c r="C483" s="17">
        <f>IFERROR(VLOOKUP(A483,'Codici ATECO 2022'!A$2:C1240,3),0)</f>
        <v>0</v>
      </c>
      <c r="D483" s="5">
        <f t="shared" si="1"/>
        <v>0</v>
      </c>
    </row>
    <row r="484" spans="2:4">
      <c r="B484" s="5">
        <f>SUMIF(Pagamenti!E$2:E1240,A484,Pagamenti!D$2:D1240)</f>
        <v>0</v>
      </c>
      <c r="C484" s="17">
        <f>IFERROR(VLOOKUP(A484,'Codici ATECO 2022'!A$2:C1240,3),0)</f>
        <v>0</v>
      </c>
      <c r="D484" s="5">
        <f t="shared" si="1"/>
        <v>0</v>
      </c>
    </row>
    <row r="485" spans="2:4">
      <c r="B485" s="5">
        <f>SUMIF(Pagamenti!E$2:E1240,A485,Pagamenti!D$2:D1240)</f>
        <v>0</v>
      </c>
      <c r="C485" s="17">
        <f>IFERROR(VLOOKUP(A485,'Codici ATECO 2022'!A$2:C1240,3),0)</f>
        <v>0</v>
      </c>
      <c r="D485" s="5">
        <f t="shared" si="1"/>
        <v>0</v>
      </c>
    </row>
    <row r="486" spans="2:4">
      <c r="B486" s="5">
        <f>SUMIF(Pagamenti!E$2:E1240,A486,Pagamenti!D$2:D1240)</f>
        <v>0</v>
      </c>
      <c r="C486" s="17">
        <f>IFERROR(VLOOKUP(A486,'Codici ATECO 2022'!A$2:C1240,3),0)</f>
        <v>0</v>
      </c>
      <c r="D486" s="5">
        <f t="shared" si="1"/>
        <v>0</v>
      </c>
    </row>
    <row r="487" spans="2:4">
      <c r="B487" s="5">
        <f>SUMIF(Pagamenti!E$2:E1240,A487,Pagamenti!D$2:D1240)</f>
        <v>0</v>
      </c>
      <c r="C487" s="17">
        <f>IFERROR(VLOOKUP(A487,'Codici ATECO 2022'!A$2:C1240,3),0)</f>
        <v>0</v>
      </c>
      <c r="D487" s="5">
        <f t="shared" si="1"/>
        <v>0</v>
      </c>
    </row>
    <row r="488" spans="2:4">
      <c r="B488" s="5">
        <f>SUMIF(Pagamenti!E$2:E1240,A488,Pagamenti!D$2:D1240)</f>
        <v>0</v>
      </c>
      <c r="C488" s="17">
        <f>IFERROR(VLOOKUP(A488,'Codici ATECO 2022'!A$2:C1240,3),0)</f>
        <v>0</v>
      </c>
      <c r="D488" s="5">
        <f t="shared" si="1"/>
        <v>0</v>
      </c>
    </row>
    <row r="489" spans="2:4">
      <c r="B489" s="5">
        <f>SUMIF(Pagamenti!E$2:E1240,A489,Pagamenti!D$2:D1240)</f>
        <v>0</v>
      </c>
      <c r="C489" s="17">
        <f>IFERROR(VLOOKUP(A489,'Codici ATECO 2022'!A$2:C1240,3),0)</f>
        <v>0</v>
      </c>
      <c r="D489" s="5">
        <f t="shared" si="1"/>
        <v>0</v>
      </c>
    </row>
    <row r="490" spans="2:4">
      <c r="B490" s="5">
        <f>SUMIF(Pagamenti!E$2:E1240,A490,Pagamenti!D$2:D1240)</f>
        <v>0</v>
      </c>
      <c r="C490" s="17">
        <f>IFERROR(VLOOKUP(A490,'Codici ATECO 2022'!A$2:C1240,3),0)</f>
        <v>0</v>
      </c>
      <c r="D490" s="5">
        <f t="shared" si="1"/>
        <v>0</v>
      </c>
    </row>
    <row r="491" spans="2:4">
      <c r="B491" s="5">
        <f>SUMIF(Pagamenti!E$2:E1240,A491,Pagamenti!D$2:D1240)</f>
        <v>0</v>
      </c>
      <c r="C491" s="17">
        <f>IFERROR(VLOOKUP(A491,'Codici ATECO 2022'!A$2:C1240,3),0)</f>
        <v>0</v>
      </c>
      <c r="D491" s="5">
        <f t="shared" si="1"/>
        <v>0</v>
      </c>
    </row>
    <row r="492" spans="2:4">
      <c r="B492" s="5">
        <f>SUMIF(Pagamenti!E$2:E1240,A492,Pagamenti!D$2:D1240)</f>
        <v>0</v>
      </c>
      <c r="C492" s="17">
        <f>IFERROR(VLOOKUP(A492,'Codici ATECO 2022'!A$2:C1240,3),0)</f>
        <v>0</v>
      </c>
      <c r="D492" s="5">
        <f t="shared" si="1"/>
        <v>0</v>
      </c>
    </row>
    <row r="493" spans="2:4">
      <c r="B493" s="5">
        <f>SUMIF(Pagamenti!E$2:E1240,A493,Pagamenti!D$2:D1240)</f>
        <v>0</v>
      </c>
      <c r="C493" s="17">
        <f>IFERROR(VLOOKUP(A493,'Codici ATECO 2022'!A$2:C1240,3),0)</f>
        <v>0</v>
      </c>
      <c r="D493" s="5">
        <f t="shared" si="1"/>
        <v>0</v>
      </c>
    </row>
    <row r="494" spans="2:4">
      <c r="B494" s="5">
        <f>SUMIF(Pagamenti!E$2:E1240,A494,Pagamenti!D$2:D1240)</f>
        <v>0</v>
      </c>
      <c r="C494" s="17">
        <f>IFERROR(VLOOKUP(A494,'Codici ATECO 2022'!A$2:C1240,3),0)</f>
        <v>0</v>
      </c>
      <c r="D494" s="5">
        <f t="shared" si="1"/>
        <v>0</v>
      </c>
    </row>
    <row r="495" spans="2:4">
      <c r="B495" s="5">
        <f>SUMIF(Pagamenti!E$2:E1240,A495,Pagamenti!D$2:D1240)</f>
        <v>0</v>
      </c>
      <c r="C495" s="17">
        <f>IFERROR(VLOOKUP(A495,'Codici ATECO 2022'!A$2:C1240,3),0)</f>
        <v>0</v>
      </c>
      <c r="D495" s="5">
        <f t="shared" si="1"/>
        <v>0</v>
      </c>
    </row>
    <row r="496" spans="2:4">
      <c r="B496" s="5">
        <f>SUMIF(Pagamenti!E$2:E1240,A496,Pagamenti!D$2:D1240)</f>
        <v>0</v>
      </c>
      <c r="C496" s="17">
        <f>IFERROR(VLOOKUP(A496,'Codici ATECO 2022'!A$2:C1240,3),0)</f>
        <v>0</v>
      </c>
      <c r="D496" s="5">
        <f t="shared" si="1"/>
        <v>0</v>
      </c>
    </row>
    <row r="497" spans="2:4">
      <c r="B497" s="5">
        <f>SUMIF(Pagamenti!E$2:E1240,A497,Pagamenti!D$2:D1240)</f>
        <v>0</v>
      </c>
      <c r="C497" s="17">
        <f>IFERROR(VLOOKUP(A497,'Codici ATECO 2022'!A$2:C1240,3),0)</f>
        <v>0</v>
      </c>
      <c r="D497" s="5">
        <f t="shared" si="1"/>
        <v>0</v>
      </c>
    </row>
    <row r="498" spans="2:4">
      <c r="B498" s="5">
        <f>SUMIF(Pagamenti!E$2:E1240,A498,Pagamenti!D$2:D1240)</f>
        <v>0</v>
      </c>
      <c r="C498" s="17">
        <f>IFERROR(VLOOKUP(A498,'Codici ATECO 2022'!A$2:C1240,3),0)</f>
        <v>0</v>
      </c>
      <c r="D498" s="5">
        <f t="shared" si="1"/>
        <v>0</v>
      </c>
    </row>
    <row r="499" spans="2:4">
      <c r="B499" s="5">
        <f>SUMIF(Pagamenti!E$2:E1240,A499,Pagamenti!D$2:D1240)</f>
        <v>0</v>
      </c>
      <c r="C499" s="17">
        <f>IFERROR(VLOOKUP(A499,'Codici ATECO 2022'!A$2:C1240,3),0)</f>
        <v>0</v>
      </c>
      <c r="D499" s="5">
        <f t="shared" si="1"/>
        <v>0</v>
      </c>
    </row>
    <row r="500" spans="2:4">
      <c r="B500" s="5">
        <f>SUMIF(Pagamenti!E$2:E1240,A500,Pagamenti!D$2:D1240)</f>
        <v>0</v>
      </c>
      <c r="C500" s="17">
        <f>IFERROR(VLOOKUP(A500,'Codici ATECO 2022'!A$2:C1240,3),0)</f>
        <v>0</v>
      </c>
      <c r="D500" s="5">
        <f t="shared" si="1"/>
        <v>0</v>
      </c>
    </row>
    <row r="501" spans="2:4">
      <c r="B501" s="5">
        <f>SUMIF(Pagamenti!E$2:E1240,A501,Pagamenti!D$2:D1240)</f>
        <v>0</v>
      </c>
      <c r="C501" s="17">
        <f>IFERROR(VLOOKUP(A501,'Codici ATECO 2022'!A$2:C1240,3),0)</f>
        <v>0</v>
      </c>
      <c r="D501" s="5">
        <f t="shared" si="1"/>
        <v>0</v>
      </c>
    </row>
    <row r="502" spans="2:4">
      <c r="B502" s="5">
        <f>SUMIF(Pagamenti!E$2:E1240,A502,Pagamenti!D$2:D1240)</f>
        <v>0</v>
      </c>
      <c r="C502" s="17">
        <f>IFERROR(VLOOKUP(A502,'Codici ATECO 2022'!A$2:C1240,3),0)</f>
        <v>0</v>
      </c>
      <c r="D502" s="5">
        <f t="shared" si="1"/>
        <v>0</v>
      </c>
    </row>
    <row r="503" spans="2:4">
      <c r="B503" s="5">
        <f>SUMIF(Pagamenti!E$2:E1240,A503,Pagamenti!D$2:D1240)</f>
        <v>0</v>
      </c>
      <c r="C503" s="17">
        <f>IFERROR(VLOOKUP(A503,'Codici ATECO 2022'!A$2:C1240,3),0)</f>
        <v>0</v>
      </c>
      <c r="D503" s="5">
        <f t="shared" si="1"/>
        <v>0</v>
      </c>
    </row>
    <row r="504" spans="2:4">
      <c r="B504" s="5">
        <f>SUMIF(Pagamenti!E$2:E1240,A504,Pagamenti!D$2:D1240)</f>
        <v>0</v>
      </c>
      <c r="C504" s="17">
        <f>IFERROR(VLOOKUP(A504,'Codici ATECO 2022'!A$2:C1240,3),0)</f>
        <v>0</v>
      </c>
      <c r="D504" s="5">
        <f t="shared" si="1"/>
        <v>0</v>
      </c>
    </row>
    <row r="505" spans="2:4">
      <c r="B505" s="5">
        <f>SUMIF(Pagamenti!E$2:E1240,A505,Pagamenti!D$2:D1240)</f>
        <v>0</v>
      </c>
      <c r="C505" s="17">
        <f>IFERROR(VLOOKUP(A505,'Codici ATECO 2022'!A$2:C1240,3),0)</f>
        <v>0</v>
      </c>
      <c r="D505" s="5">
        <f t="shared" si="1"/>
        <v>0</v>
      </c>
    </row>
    <row r="506" spans="2:4">
      <c r="B506" s="5">
        <f>SUMIF(Pagamenti!E$2:E1240,A506,Pagamenti!D$2:D1240)</f>
        <v>0</v>
      </c>
      <c r="C506" s="17">
        <f>IFERROR(VLOOKUP(A506,'Codici ATECO 2022'!A$2:C1240,3),0)</f>
        <v>0</v>
      </c>
      <c r="D506" s="5">
        <f t="shared" si="1"/>
        <v>0</v>
      </c>
    </row>
    <row r="507" spans="2:4">
      <c r="B507" s="5">
        <f>SUMIF(Pagamenti!E$2:E1240,A507,Pagamenti!D$2:D1240)</f>
        <v>0</v>
      </c>
      <c r="C507" s="17">
        <f>IFERROR(VLOOKUP(A507,'Codici ATECO 2022'!A$2:C1240,3),0)</f>
        <v>0</v>
      </c>
      <c r="D507" s="5">
        <f t="shared" si="1"/>
        <v>0</v>
      </c>
    </row>
    <row r="508" spans="2:4">
      <c r="B508" s="5">
        <f>SUMIF(Pagamenti!E$2:E1240,A508,Pagamenti!D$2:D1240)</f>
        <v>0</v>
      </c>
      <c r="C508" s="17">
        <f>IFERROR(VLOOKUP(A508,'Codici ATECO 2022'!A$2:C1240,3),0)</f>
        <v>0</v>
      </c>
      <c r="D508" s="5">
        <f t="shared" si="1"/>
        <v>0</v>
      </c>
    </row>
    <row r="509" spans="2:4">
      <c r="B509" s="5">
        <f>SUMIF(Pagamenti!E$2:E1240,A509,Pagamenti!D$2:D1240)</f>
        <v>0</v>
      </c>
      <c r="C509" s="17">
        <f>IFERROR(VLOOKUP(A509,'Codici ATECO 2022'!A$2:C1240,3),0)</f>
        <v>0</v>
      </c>
      <c r="D509" s="5">
        <f t="shared" si="1"/>
        <v>0</v>
      </c>
    </row>
    <row r="510" spans="2:4">
      <c r="B510" s="5">
        <f>SUMIF(Pagamenti!E$2:E1240,A510,Pagamenti!D$2:D1240)</f>
        <v>0</v>
      </c>
      <c r="C510" s="17">
        <f>IFERROR(VLOOKUP(A510,'Codici ATECO 2022'!A$2:C1240,3),0)</f>
        <v>0</v>
      </c>
      <c r="D510" s="5">
        <f t="shared" si="1"/>
        <v>0</v>
      </c>
    </row>
    <row r="511" spans="2:4">
      <c r="B511" s="5">
        <f>SUMIF(Pagamenti!E$2:E1240,A511,Pagamenti!D$2:D1240)</f>
        <v>0</v>
      </c>
      <c r="C511" s="17">
        <f>IFERROR(VLOOKUP(A511,'Codici ATECO 2022'!A$2:C1240,3),0)</f>
        <v>0</v>
      </c>
      <c r="D511" s="5">
        <f t="shared" si="1"/>
        <v>0</v>
      </c>
    </row>
    <row r="512" spans="2:4">
      <c r="B512" s="5">
        <f>SUMIF(Pagamenti!E$2:E1240,A512,Pagamenti!D$2:D1240)</f>
        <v>0</v>
      </c>
      <c r="C512" s="17">
        <f>IFERROR(VLOOKUP(A512,'Codici ATECO 2022'!A$2:C1240,3),0)</f>
        <v>0</v>
      </c>
      <c r="D512" s="5">
        <f t="shared" ref="D512:D766" si="2">B512*C512</f>
        <v>0</v>
      </c>
    </row>
    <row r="513" spans="2:4">
      <c r="B513" s="5">
        <f>SUMIF(Pagamenti!E$2:E1240,A513,Pagamenti!D$2:D1240)</f>
        <v>0</v>
      </c>
      <c r="C513" s="17">
        <f>IFERROR(VLOOKUP(A513,'Codici ATECO 2022'!A$2:C1240,3),0)</f>
        <v>0</v>
      </c>
      <c r="D513" s="5">
        <f t="shared" si="2"/>
        <v>0</v>
      </c>
    </row>
    <row r="514" spans="2:4">
      <c r="B514" s="5">
        <f>SUMIF(Pagamenti!E$2:E1240,A514,Pagamenti!D$2:D1240)</f>
        <v>0</v>
      </c>
      <c r="C514" s="17">
        <f>IFERROR(VLOOKUP(A514,'Codici ATECO 2022'!A$2:C1240,3),0)</f>
        <v>0</v>
      </c>
      <c r="D514" s="5">
        <f t="shared" si="2"/>
        <v>0</v>
      </c>
    </row>
    <row r="515" spans="2:4">
      <c r="B515" s="5">
        <f>SUMIF(Pagamenti!E$2:E1240,A515,Pagamenti!D$2:D1240)</f>
        <v>0</v>
      </c>
      <c r="C515" s="17">
        <f>IFERROR(VLOOKUP(A515,'Codici ATECO 2022'!A$2:C1240,3),0)</f>
        <v>0</v>
      </c>
      <c r="D515" s="5">
        <f t="shared" si="2"/>
        <v>0</v>
      </c>
    </row>
    <row r="516" spans="2:4">
      <c r="B516" s="5">
        <f>SUMIF(Pagamenti!E$2:E1240,A516,Pagamenti!D$2:D1240)</f>
        <v>0</v>
      </c>
      <c r="C516" s="17">
        <f>IFERROR(VLOOKUP(A516,'Codici ATECO 2022'!A$2:C1240,3),0)</f>
        <v>0</v>
      </c>
      <c r="D516" s="5">
        <f t="shared" si="2"/>
        <v>0</v>
      </c>
    </row>
    <row r="517" spans="2:4">
      <c r="B517" s="5">
        <f>SUMIF(Pagamenti!E$2:E1240,A517,Pagamenti!D$2:D1240)</f>
        <v>0</v>
      </c>
      <c r="C517" s="17">
        <f>IFERROR(VLOOKUP(A517,'Codici ATECO 2022'!A$2:C1240,3),0)</f>
        <v>0</v>
      </c>
      <c r="D517" s="5">
        <f t="shared" si="2"/>
        <v>0</v>
      </c>
    </row>
    <row r="518" spans="2:4">
      <c r="B518" s="5">
        <f>SUMIF(Pagamenti!E$2:E1240,A518,Pagamenti!D$2:D1240)</f>
        <v>0</v>
      </c>
      <c r="C518" s="17">
        <f>IFERROR(VLOOKUP(A518,'Codici ATECO 2022'!A$2:C1240,3),0)</f>
        <v>0</v>
      </c>
      <c r="D518" s="5">
        <f t="shared" si="2"/>
        <v>0</v>
      </c>
    </row>
    <row r="519" spans="2:4">
      <c r="B519" s="5">
        <f>SUMIF(Pagamenti!E$2:E1240,A519,Pagamenti!D$2:D1240)</f>
        <v>0</v>
      </c>
      <c r="C519" s="17">
        <f>IFERROR(VLOOKUP(A519,'Codici ATECO 2022'!A$2:C1240,3),0)</f>
        <v>0</v>
      </c>
      <c r="D519" s="5">
        <f t="shared" si="2"/>
        <v>0</v>
      </c>
    </row>
    <row r="520" spans="2:4">
      <c r="B520" s="5">
        <f>SUMIF(Pagamenti!E$2:E1240,A520,Pagamenti!D$2:D1240)</f>
        <v>0</v>
      </c>
      <c r="C520" s="17">
        <f>IFERROR(VLOOKUP(A520,'Codici ATECO 2022'!A$2:C1240,3),0)</f>
        <v>0</v>
      </c>
      <c r="D520" s="5">
        <f t="shared" si="2"/>
        <v>0</v>
      </c>
    </row>
    <row r="521" spans="2:4">
      <c r="B521" s="5">
        <f>SUMIF(Pagamenti!E$2:E1240,A521,Pagamenti!D$2:D1240)</f>
        <v>0</v>
      </c>
      <c r="C521" s="17">
        <f>IFERROR(VLOOKUP(A521,'Codici ATECO 2022'!A$2:C1240,3),0)</f>
        <v>0</v>
      </c>
      <c r="D521" s="5">
        <f t="shared" si="2"/>
        <v>0</v>
      </c>
    </row>
    <row r="522" spans="2:4">
      <c r="B522" s="5">
        <f>SUMIF(Pagamenti!E$2:E1240,A522,Pagamenti!D$2:D1240)</f>
        <v>0</v>
      </c>
      <c r="C522" s="17">
        <f>IFERROR(VLOOKUP(A522,'Codici ATECO 2022'!A$2:C1240,3),0)</f>
        <v>0</v>
      </c>
      <c r="D522" s="5">
        <f t="shared" si="2"/>
        <v>0</v>
      </c>
    </row>
    <row r="523" spans="2:4">
      <c r="B523" s="5">
        <f>SUMIF(Pagamenti!E$2:E1240,A523,Pagamenti!D$2:D1240)</f>
        <v>0</v>
      </c>
      <c r="C523" s="17">
        <f>IFERROR(VLOOKUP(A523,'Codici ATECO 2022'!A$2:C1240,3),0)</f>
        <v>0</v>
      </c>
      <c r="D523" s="5">
        <f t="shared" si="2"/>
        <v>0</v>
      </c>
    </row>
    <row r="524" spans="2:4">
      <c r="B524" s="5">
        <f>SUMIF(Pagamenti!E$2:E1240,A524,Pagamenti!D$2:D1240)</f>
        <v>0</v>
      </c>
      <c r="C524" s="17">
        <f>IFERROR(VLOOKUP(A524,'Codici ATECO 2022'!A$2:C1240,3),0)</f>
        <v>0</v>
      </c>
      <c r="D524" s="5">
        <f t="shared" si="2"/>
        <v>0</v>
      </c>
    </row>
    <row r="525" spans="2:4">
      <c r="B525" s="5">
        <f>SUMIF(Pagamenti!E$2:E1240,A525,Pagamenti!D$2:D1240)</f>
        <v>0</v>
      </c>
      <c r="C525" s="17">
        <f>IFERROR(VLOOKUP(A525,'Codici ATECO 2022'!A$2:C1240,3),0)</f>
        <v>0</v>
      </c>
      <c r="D525" s="5">
        <f t="shared" si="2"/>
        <v>0</v>
      </c>
    </row>
    <row r="526" spans="2:4">
      <c r="B526" s="5">
        <f>SUMIF(Pagamenti!E$2:E1240,A526,Pagamenti!D$2:D1240)</f>
        <v>0</v>
      </c>
      <c r="C526" s="17">
        <f>IFERROR(VLOOKUP(A526,'Codici ATECO 2022'!A$2:C1240,3),0)</f>
        <v>0</v>
      </c>
      <c r="D526" s="5">
        <f t="shared" si="2"/>
        <v>0</v>
      </c>
    </row>
    <row r="527" spans="2:4">
      <c r="B527" s="5">
        <f>SUMIF(Pagamenti!E$2:E1240,A527,Pagamenti!D$2:D1240)</f>
        <v>0</v>
      </c>
      <c r="C527" s="17">
        <f>IFERROR(VLOOKUP(A527,'Codici ATECO 2022'!A$2:C1240,3),0)</f>
        <v>0</v>
      </c>
      <c r="D527" s="5">
        <f t="shared" si="2"/>
        <v>0</v>
      </c>
    </row>
    <row r="528" spans="2:4">
      <c r="B528" s="5">
        <f>SUMIF(Pagamenti!E$2:E1240,A528,Pagamenti!D$2:D1240)</f>
        <v>0</v>
      </c>
      <c r="C528" s="17">
        <f>IFERROR(VLOOKUP(A528,'Codici ATECO 2022'!A$2:C1240,3),0)</f>
        <v>0</v>
      </c>
      <c r="D528" s="5">
        <f t="shared" si="2"/>
        <v>0</v>
      </c>
    </row>
    <row r="529" spans="2:4">
      <c r="B529" s="5">
        <f>SUMIF(Pagamenti!E$2:E1240,A529,Pagamenti!D$2:D1240)</f>
        <v>0</v>
      </c>
      <c r="C529" s="17">
        <f>IFERROR(VLOOKUP(A529,'Codici ATECO 2022'!A$2:C1240,3),0)</f>
        <v>0</v>
      </c>
      <c r="D529" s="5">
        <f t="shared" si="2"/>
        <v>0</v>
      </c>
    </row>
    <row r="530" spans="2:4">
      <c r="B530" s="5">
        <f>SUMIF(Pagamenti!E$2:E1240,A530,Pagamenti!D$2:D1240)</f>
        <v>0</v>
      </c>
      <c r="C530" s="17">
        <f>IFERROR(VLOOKUP(A530,'Codici ATECO 2022'!A$2:C1240,3),0)</f>
        <v>0</v>
      </c>
      <c r="D530" s="5">
        <f t="shared" si="2"/>
        <v>0</v>
      </c>
    </row>
    <row r="531" spans="2:4">
      <c r="B531" s="5">
        <f>SUMIF(Pagamenti!E$2:E1240,A531,Pagamenti!D$2:D1240)</f>
        <v>0</v>
      </c>
      <c r="C531" s="17">
        <f>IFERROR(VLOOKUP(A531,'Codici ATECO 2022'!A$2:C1240,3),0)</f>
        <v>0</v>
      </c>
      <c r="D531" s="5">
        <f t="shared" si="2"/>
        <v>0</v>
      </c>
    </row>
    <row r="532" spans="2:4">
      <c r="B532" s="5">
        <f>SUMIF(Pagamenti!E$2:E1240,A532,Pagamenti!D$2:D1240)</f>
        <v>0</v>
      </c>
      <c r="C532" s="17">
        <f>IFERROR(VLOOKUP(A532,'Codici ATECO 2022'!A$2:C1240,3),0)</f>
        <v>0</v>
      </c>
      <c r="D532" s="5">
        <f t="shared" si="2"/>
        <v>0</v>
      </c>
    </row>
    <row r="533" spans="2:4">
      <c r="B533" s="5">
        <f>SUMIF(Pagamenti!E$2:E1240,A533,Pagamenti!D$2:D1240)</f>
        <v>0</v>
      </c>
      <c r="C533" s="17">
        <f>IFERROR(VLOOKUP(A533,'Codici ATECO 2022'!A$2:C1240,3),0)</f>
        <v>0</v>
      </c>
      <c r="D533" s="5">
        <f t="shared" si="2"/>
        <v>0</v>
      </c>
    </row>
    <row r="534" spans="2:4">
      <c r="B534" s="5">
        <f>SUMIF(Pagamenti!E$2:E1240,A534,Pagamenti!D$2:D1240)</f>
        <v>0</v>
      </c>
      <c r="C534" s="17">
        <f>IFERROR(VLOOKUP(A534,'Codici ATECO 2022'!A$2:C1240,3),0)</f>
        <v>0</v>
      </c>
      <c r="D534" s="5">
        <f t="shared" si="2"/>
        <v>0</v>
      </c>
    </row>
    <row r="535" spans="2:4">
      <c r="B535" s="5">
        <f>SUMIF(Pagamenti!E$2:E1240,A535,Pagamenti!D$2:D1240)</f>
        <v>0</v>
      </c>
      <c r="C535" s="17">
        <f>IFERROR(VLOOKUP(A535,'Codici ATECO 2022'!A$2:C1240,3),0)</f>
        <v>0</v>
      </c>
      <c r="D535" s="5">
        <f t="shared" si="2"/>
        <v>0</v>
      </c>
    </row>
    <row r="536" spans="2:4">
      <c r="B536" s="5">
        <f>SUMIF(Pagamenti!E$2:E1240,A536,Pagamenti!D$2:D1240)</f>
        <v>0</v>
      </c>
      <c r="C536" s="17">
        <f>IFERROR(VLOOKUP(A536,'Codici ATECO 2022'!A$2:C1240,3),0)</f>
        <v>0</v>
      </c>
      <c r="D536" s="5">
        <f t="shared" si="2"/>
        <v>0</v>
      </c>
    </row>
    <row r="537" spans="2:4">
      <c r="B537" s="5">
        <f>SUMIF(Pagamenti!E$2:E1240,A537,Pagamenti!D$2:D1240)</f>
        <v>0</v>
      </c>
      <c r="C537" s="17">
        <f>IFERROR(VLOOKUP(A537,'Codici ATECO 2022'!A$2:C1240,3),0)</f>
        <v>0</v>
      </c>
      <c r="D537" s="5">
        <f t="shared" si="2"/>
        <v>0</v>
      </c>
    </row>
    <row r="538" spans="2:4">
      <c r="B538" s="5">
        <f>SUMIF(Pagamenti!E$2:E1240,A538,Pagamenti!D$2:D1240)</f>
        <v>0</v>
      </c>
      <c r="C538" s="17">
        <f>IFERROR(VLOOKUP(A538,'Codici ATECO 2022'!A$2:C1240,3),0)</f>
        <v>0</v>
      </c>
      <c r="D538" s="5">
        <f t="shared" si="2"/>
        <v>0</v>
      </c>
    </row>
    <row r="539" spans="2:4">
      <c r="B539" s="5">
        <f>SUMIF(Pagamenti!E$2:E1240,A539,Pagamenti!D$2:D1240)</f>
        <v>0</v>
      </c>
      <c r="C539" s="17">
        <f>IFERROR(VLOOKUP(A539,'Codici ATECO 2022'!A$2:C1240,3),0)</f>
        <v>0</v>
      </c>
      <c r="D539" s="5">
        <f t="shared" si="2"/>
        <v>0</v>
      </c>
    </row>
    <row r="540" spans="2:4">
      <c r="B540" s="5">
        <f>SUMIF(Pagamenti!E$2:E1240,A540,Pagamenti!D$2:D1240)</f>
        <v>0</v>
      </c>
      <c r="C540" s="17">
        <f>IFERROR(VLOOKUP(A540,'Codici ATECO 2022'!A$2:C1240,3),0)</f>
        <v>0</v>
      </c>
      <c r="D540" s="5">
        <f t="shared" si="2"/>
        <v>0</v>
      </c>
    </row>
    <row r="541" spans="2:4">
      <c r="B541" s="5">
        <f>SUMIF(Pagamenti!E$2:E1240,A541,Pagamenti!D$2:D1240)</f>
        <v>0</v>
      </c>
      <c r="C541" s="17">
        <f>IFERROR(VLOOKUP(A541,'Codici ATECO 2022'!A$2:C1240,3),0)</f>
        <v>0</v>
      </c>
      <c r="D541" s="5">
        <f t="shared" si="2"/>
        <v>0</v>
      </c>
    </row>
    <row r="542" spans="2:4">
      <c r="B542" s="5">
        <f>SUMIF(Pagamenti!E$2:E1240,A542,Pagamenti!D$2:D1240)</f>
        <v>0</v>
      </c>
      <c r="C542" s="17">
        <f>IFERROR(VLOOKUP(A542,'Codici ATECO 2022'!A$2:C1240,3),0)</f>
        <v>0</v>
      </c>
      <c r="D542" s="5">
        <f t="shared" si="2"/>
        <v>0</v>
      </c>
    </row>
    <row r="543" spans="2:4">
      <c r="B543" s="5">
        <f>SUMIF(Pagamenti!E$2:E1240,A543,Pagamenti!D$2:D1240)</f>
        <v>0</v>
      </c>
      <c r="C543" s="17">
        <f>IFERROR(VLOOKUP(A543,'Codici ATECO 2022'!A$2:C1240,3),0)</f>
        <v>0</v>
      </c>
      <c r="D543" s="5">
        <f t="shared" si="2"/>
        <v>0</v>
      </c>
    </row>
    <row r="544" spans="2:4">
      <c r="B544" s="5">
        <f>SUMIF(Pagamenti!E$2:E1240,A544,Pagamenti!D$2:D1240)</f>
        <v>0</v>
      </c>
      <c r="C544" s="17">
        <f>IFERROR(VLOOKUP(A544,'Codici ATECO 2022'!A$2:C1240,3),0)</f>
        <v>0</v>
      </c>
      <c r="D544" s="5">
        <f t="shared" si="2"/>
        <v>0</v>
      </c>
    </row>
    <row r="545" spans="2:4">
      <c r="B545" s="5">
        <f>SUMIF(Pagamenti!E$2:E1240,A545,Pagamenti!D$2:D1240)</f>
        <v>0</v>
      </c>
      <c r="C545" s="17">
        <f>IFERROR(VLOOKUP(A545,'Codici ATECO 2022'!A$2:C1240,3),0)</f>
        <v>0</v>
      </c>
      <c r="D545" s="5">
        <f t="shared" si="2"/>
        <v>0</v>
      </c>
    </row>
    <row r="546" spans="2:4">
      <c r="B546" s="5">
        <f>SUMIF(Pagamenti!E$2:E1240,A546,Pagamenti!D$2:D1240)</f>
        <v>0</v>
      </c>
      <c r="C546" s="17">
        <f>IFERROR(VLOOKUP(A546,'Codici ATECO 2022'!A$2:C1240,3),0)</f>
        <v>0</v>
      </c>
      <c r="D546" s="5">
        <f t="shared" si="2"/>
        <v>0</v>
      </c>
    </row>
    <row r="547" spans="2:4">
      <c r="B547" s="5">
        <f>SUMIF(Pagamenti!E$2:E1240,A547,Pagamenti!D$2:D1240)</f>
        <v>0</v>
      </c>
      <c r="C547" s="17">
        <f>IFERROR(VLOOKUP(A547,'Codici ATECO 2022'!A$2:C1240,3),0)</f>
        <v>0</v>
      </c>
      <c r="D547" s="5">
        <f t="shared" si="2"/>
        <v>0</v>
      </c>
    </row>
    <row r="548" spans="2:4">
      <c r="B548" s="5">
        <f>SUMIF(Pagamenti!E$2:E1240,A548,Pagamenti!D$2:D1240)</f>
        <v>0</v>
      </c>
      <c r="C548" s="17">
        <f>IFERROR(VLOOKUP(A548,'Codici ATECO 2022'!A$2:C1240,3),0)</f>
        <v>0</v>
      </c>
      <c r="D548" s="5">
        <f t="shared" si="2"/>
        <v>0</v>
      </c>
    </row>
    <row r="549" spans="2:4">
      <c r="B549" s="5">
        <f>SUMIF(Pagamenti!E$2:E1240,A549,Pagamenti!D$2:D1240)</f>
        <v>0</v>
      </c>
      <c r="C549" s="17">
        <f>IFERROR(VLOOKUP(A549,'Codici ATECO 2022'!A$2:C1240,3),0)</f>
        <v>0</v>
      </c>
      <c r="D549" s="5">
        <f t="shared" si="2"/>
        <v>0</v>
      </c>
    </row>
    <row r="550" spans="2:4">
      <c r="B550" s="5">
        <f>SUMIF(Pagamenti!E$2:E1240,A550,Pagamenti!D$2:D1240)</f>
        <v>0</v>
      </c>
      <c r="C550" s="17">
        <f>IFERROR(VLOOKUP(A550,'Codici ATECO 2022'!A$2:C1240,3),0)</f>
        <v>0</v>
      </c>
      <c r="D550" s="5">
        <f t="shared" si="2"/>
        <v>0</v>
      </c>
    </row>
    <row r="551" spans="2:4">
      <c r="B551" s="5">
        <f>SUMIF(Pagamenti!E$2:E1240,A551,Pagamenti!D$2:D1240)</f>
        <v>0</v>
      </c>
      <c r="C551" s="17">
        <f>IFERROR(VLOOKUP(A551,'Codici ATECO 2022'!A$2:C1240,3),0)</f>
        <v>0</v>
      </c>
      <c r="D551" s="5">
        <f t="shared" si="2"/>
        <v>0</v>
      </c>
    </row>
    <row r="552" spans="2:4">
      <c r="B552" s="5">
        <f>SUMIF(Pagamenti!E$2:E1240,A552,Pagamenti!D$2:D1240)</f>
        <v>0</v>
      </c>
      <c r="C552" s="17">
        <f>IFERROR(VLOOKUP(A552,'Codici ATECO 2022'!A$2:C1240,3),0)</f>
        <v>0</v>
      </c>
      <c r="D552" s="5">
        <f t="shared" si="2"/>
        <v>0</v>
      </c>
    </row>
    <row r="553" spans="2:4">
      <c r="B553" s="5">
        <f>SUMIF(Pagamenti!E$2:E1240,A553,Pagamenti!D$2:D1240)</f>
        <v>0</v>
      </c>
      <c r="C553" s="17">
        <f>IFERROR(VLOOKUP(A553,'Codici ATECO 2022'!A$2:C1240,3),0)</f>
        <v>0</v>
      </c>
      <c r="D553" s="5">
        <f t="shared" si="2"/>
        <v>0</v>
      </c>
    </row>
    <row r="554" spans="2:4">
      <c r="B554" s="5">
        <f>SUMIF(Pagamenti!E$2:E1240,A554,Pagamenti!D$2:D1240)</f>
        <v>0</v>
      </c>
      <c r="C554" s="17">
        <f>IFERROR(VLOOKUP(A554,'Codici ATECO 2022'!A$2:C1240,3),0)</f>
        <v>0</v>
      </c>
      <c r="D554" s="5">
        <f t="shared" si="2"/>
        <v>0</v>
      </c>
    </row>
    <row r="555" spans="2:4">
      <c r="B555" s="5">
        <f>SUMIF(Pagamenti!E$2:E1240,A555,Pagamenti!D$2:D1240)</f>
        <v>0</v>
      </c>
      <c r="C555" s="17">
        <f>IFERROR(VLOOKUP(A555,'Codici ATECO 2022'!A$2:C1240,3),0)</f>
        <v>0</v>
      </c>
      <c r="D555" s="5">
        <f t="shared" si="2"/>
        <v>0</v>
      </c>
    </row>
    <row r="556" spans="2:4">
      <c r="B556" s="5">
        <f>SUMIF(Pagamenti!E$2:E1240,A556,Pagamenti!D$2:D1240)</f>
        <v>0</v>
      </c>
      <c r="C556" s="17">
        <f>IFERROR(VLOOKUP(A556,'Codici ATECO 2022'!A$2:C1240,3),0)</f>
        <v>0</v>
      </c>
      <c r="D556" s="5">
        <f t="shared" si="2"/>
        <v>0</v>
      </c>
    </row>
    <row r="557" spans="2:4">
      <c r="B557" s="5">
        <f>SUMIF(Pagamenti!E$2:E1240,A557,Pagamenti!D$2:D1240)</f>
        <v>0</v>
      </c>
      <c r="C557" s="17">
        <f>IFERROR(VLOOKUP(A557,'Codici ATECO 2022'!A$2:C1240,3),0)</f>
        <v>0</v>
      </c>
      <c r="D557" s="5">
        <f t="shared" si="2"/>
        <v>0</v>
      </c>
    </row>
    <row r="558" spans="2:4">
      <c r="B558" s="5">
        <f>SUMIF(Pagamenti!E$2:E1240,A558,Pagamenti!D$2:D1240)</f>
        <v>0</v>
      </c>
      <c r="C558" s="17">
        <f>IFERROR(VLOOKUP(A558,'Codici ATECO 2022'!A$2:C1240,3),0)</f>
        <v>0</v>
      </c>
      <c r="D558" s="5">
        <f t="shared" si="2"/>
        <v>0</v>
      </c>
    </row>
    <row r="559" spans="2:4">
      <c r="B559" s="5">
        <f>SUMIF(Pagamenti!E$2:E1240,A559,Pagamenti!D$2:D1240)</f>
        <v>0</v>
      </c>
      <c r="C559" s="17">
        <f>IFERROR(VLOOKUP(A559,'Codici ATECO 2022'!A$2:C1240,3),0)</f>
        <v>0</v>
      </c>
      <c r="D559" s="5">
        <f t="shared" si="2"/>
        <v>0</v>
      </c>
    </row>
    <row r="560" spans="2:4">
      <c r="B560" s="5">
        <f>SUMIF(Pagamenti!E$2:E1240,A560,Pagamenti!D$2:D1240)</f>
        <v>0</v>
      </c>
      <c r="C560" s="17">
        <f>IFERROR(VLOOKUP(A560,'Codici ATECO 2022'!A$2:C1240,3),0)</f>
        <v>0</v>
      </c>
      <c r="D560" s="5">
        <f t="shared" si="2"/>
        <v>0</v>
      </c>
    </row>
    <row r="561" spans="2:4">
      <c r="B561" s="5">
        <f>SUMIF(Pagamenti!E$2:E1240,A561,Pagamenti!D$2:D1240)</f>
        <v>0</v>
      </c>
      <c r="C561" s="17">
        <f>IFERROR(VLOOKUP(A561,'Codici ATECO 2022'!A$2:C1240,3),0)</f>
        <v>0</v>
      </c>
      <c r="D561" s="5">
        <f t="shared" si="2"/>
        <v>0</v>
      </c>
    </row>
    <row r="562" spans="2:4">
      <c r="B562" s="5">
        <f>SUMIF(Pagamenti!E$2:E1240,A562,Pagamenti!D$2:D1240)</f>
        <v>0</v>
      </c>
      <c r="C562" s="17">
        <f>IFERROR(VLOOKUP(A562,'Codici ATECO 2022'!A$2:C1240,3),0)</f>
        <v>0</v>
      </c>
      <c r="D562" s="5">
        <f t="shared" si="2"/>
        <v>0</v>
      </c>
    </row>
    <row r="563" spans="2:4">
      <c r="B563" s="5">
        <f>SUMIF(Pagamenti!E$2:E1240,A563,Pagamenti!D$2:D1240)</f>
        <v>0</v>
      </c>
      <c r="C563" s="17">
        <f>IFERROR(VLOOKUP(A563,'Codici ATECO 2022'!A$2:C1240,3),0)</f>
        <v>0</v>
      </c>
      <c r="D563" s="5">
        <f t="shared" si="2"/>
        <v>0</v>
      </c>
    </row>
    <row r="564" spans="2:4">
      <c r="B564" s="5">
        <f>SUMIF(Pagamenti!E$2:E1240,A564,Pagamenti!D$2:D1240)</f>
        <v>0</v>
      </c>
      <c r="C564" s="17">
        <f>IFERROR(VLOOKUP(A564,'Codici ATECO 2022'!A$2:C1240,3),0)</f>
        <v>0</v>
      </c>
      <c r="D564" s="5">
        <f t="shared" si="2"/>
        <v>0</v>
      </c>
    </row>
    <row r="565" spans="2:4">
      <c r="B565" s="5">
        <f>SUMIF(Pagamenti!E$2:E1240,A565,Pagamenti!D$2:D1240)</f>
        <v>0</v>
      </c>
      <c r="C565" s="17">
        <f>IFERROR(VLOOKUP(A565,'Codici ATECO 2022'!A$2:C1240,3),0)</f>
        <v>0</v>
      </c>
      <c r="D565" s="5">
        <f t="shared" si="2"/>
        <v>0</v>
      </c>
    </row>
    <row r="566" spans="2:4">
      <c r="B566" s="5">
        <f>SUMIF(Pagamenti!E$2:E1240,A566,Pagamenti!D$2:D1240)</f>
        <v>0</v>
      </c>
      <c r="C566" s="17">
        <f>IFERROR(VLOOKUP(A566,'Codici ATECO 2022'!A$2:C1240,3),0)</f>
        <v>0</v>
      </c>
      <c r="D566" s="5">
        <f t="shared" si="2"/>
        <v>0</v>
      </c>
    </row>
    <row r="567" spans="2:4">
      <c r="B567" s="5">
        <f>SUMIF(Pagamenti!E$2:E1240,A567,Pagamenti!D$2:D1240)</f>
        <v>0</v>
      </c>
      <c r="C567" s="17">
        <f>IFERROR(VLOOKUP(A567,'Codici ATECO 2022'!A$2:C1240,3),0)</f>
        <v>0</v>
      </c>
      <c r="D567" s="5">
        <f t="shared" si="2"/>
        <v>0</v>
      </c>
    </row>
    <row r="568" spans="2:4">
      <c r="B568" s="5">
        <f>SUMIF(Pagamenti!E$2:E1240,A568,Pagamenti!D$2:D1240)</f>
        <v>0</v>
      </c>
      <c r="C568" s="17">
        <f>IFERROR(VLOOKUP(A568,'Codici ATECO 2022'!A$2:C1240,3),0)</f>
        <v>0</v>
      </c>
      <c r="D568" s="5">
        <f t="shared" si="2"/>
        <v>0</v>
      </c>
    </row>
    <row r="569" spans="2:4">
      <c r="B569" s="5">
        <f>SUMIF(Pagamenti!E$2:E1240,A569,Pagamenti!D$2:D1240)</f>
        <v>0</v>
      </c>
      <c r="C569" s="17">
        <f>IFERROR(VLOOKUP(A569,'Codici ATECO 2022'!A$2:C1240,3),0)</f>
        <v>0</v>
      </c>
      <c r="D569" s="5">
        <f t="shared" si="2"/>
        <v>0</v>
      </c>
    </row>
    <row r="570" spans="2:4">
      <c r="B570" s="5">
        <f>SUMIF(Pagamenti!E$2:E1240,A570,Pagamenti!D$2:D1240)</f>
        <v>0</v>
      </c>
      <c r="C570" s="17">
        <f>IFERROR(VLOOKUP(A570,'Codici ATECO 2022'!A$2:C1240,3),0)</f>
        <v>0</v>
      </c>
      <c r="D570" s="5">
        <f t="shared" si="2"/>
        <v>0</v>
      </c>
    </row>
    <row r="571" spans="2:4">
      <c r="B571" s="5">
        <f>SUMIF(Pagamenti!E$2:E1240,A571,Pagamenti!D$2:D1240)</f>
        <v>0</v>
      </c>
      <c r="C571" s="17">
        <f>IFERROR(VLOOKUP(A571,'Codici ATECO 2022'!A$2:C1240,3),0)</f>
        <v>0</v>
      </c>
      <c r="D571" s="5">
        <f t="shared" si="2"/>
        <v>0</v>
      </c>
    </row>
    <row r="572" spans="2:4">
      <c r="B572" s="5">
        <f>SUMIF(Pagamenti!E$2:E1240,A572,Pagamenti!D$2:D1240)</f>
        <v>0</v>
      </c>
      <c r="C572" s="17">
        <f>IFERROR(VLOOKUP(A572,'Codici ATECO 2022'!A$2:C1240,3),0)</f>
        <v>0</v>
      </c>
      <c r="D572" s="5">
        <f t="shared" si="2"/>
        <v>0</v>
      </c>
    </row>
    <row r="573" spans="2:4">
      <c r="B573" s="5">
        <f>SUMIF(Pagamenti!E$2:E1240,A573,Pagamenti!D$2:D1240)</f>
        <v>0</v>
      </c>
      <c r="C573" s="17">
        <f>IFERROR(VLOOKUP(A573,'Codici ATECO 2022'!A$2:C1240,3),0)</f>
        <v>0</v>
      </c>
      <c r="D573" s="5">
        <f t="shared" si="2"/>
        <v>0</v>
      </c>
    </row>
    <row r="574" spans="2:4">
      <c r="B574" s="5">
        <f>SUMIF(Pagamenti!E$2:E1240,A574,Pagamenti!D$2:D1240)</f>
        <v>0</v>
      </c>
      <c r="C574" s="17">
        <f>IFERROR(VLOOKUP(A574,'Codici ATECO 2022'!A$2:C1240,3),0)</f>
        <v>0</v>
      </c>
      <c r="D574" s="5">
        <f t="shared" si="2"/>
        <v>0</v>
      </c>
    </row>
    <row r="575" spans="2:4">
      <c r="B575" s="5">
        <f>SUMIF(Pagamenti!E$2:E1240,A575,Pagamenti!D$2:D1240)</f>
        <v>0</v>
      </c>
      <c r="C575" s="17">
        <f>IFERROR(VLOOKUP(A575,'Codici ATECO 2022'!A$2:C1240,3),0)</f>
        <v>0</v>
      </c>
      <c r="D575" s="5">
        <f t="shared" si="2"/>
        <v>0</v>
      </c>
    </row>
    <row r="576" spans="2:4">
      <c r="B576" s="5">
        <f>SUMIF(Pagamenti!E$2:E1240,A576,Pagamenti!D$2:D1240)</f>
        <v>0</v>
      </c>
      <c r="C576" s="17">
        <f>IFERROR(VLOOKUP(A576,'Codici ATECO 2022'!A$2:C1240,3),0)</f>
        <v>0</v>
      </c>
      <c r="D576" s="5">
        <f t="shared" si="2"/>
        <v>0</v>
      </c>
    </row>
    <row r="577" spans="2:4">
      <c r="B577" s="5">
        <f>SUMIF(Pagamenti!E$2:E1240,A577,Pagamenti!D$2:D1240)</f>
        <v>0</v>
      </c>
      <c r="C577" s="17">
        <f>IFERROR(VLOOKUP(A577,'Codici ATECO 2022'!A$2:C1240,3),0)</f>
        <v>0</v>
      </c>
      <c r="D577" s="5">
        <f t="shared" si="2"/>
        <v>0</v>
      </c>
    </row>
    <row r="578" spans="2:4">
      <c r="B578" s="5">
        <f>SUMIF(Pagamenti!E$2:E1240,A578,Pagamenti!D$2:D1240)</f>
        <v>0</v>
      </c>
      <c r="C578" s="17">
        <f>IFERROR(VLOOKUP(A578,'Codici ATECO 2022'!A$2:C1240,3),0)</f>
        <v>0</v>
      </c>
      <c r="D578" s="5">
        <f t="shared" si="2"/>
        <v>0</v>
      </c>
    </row>
    <row r="579" spans="2:4">
      <c r="B579" s="5">
        <f>SUMIF(Pagamenti!E$2:E1240,A579,Pagamenti!D$2:D1240)</f>
        <v>0</v>
      </c>
      <c r="C579" s="17">
        <f>IFERROR(VLOOKUP(A579,'Codici ATECO 2022'!A$2:C1240,3),0)</f>
        <v>0</v>
      </c>
      <c r="D579" s="5">
        <f t="shared" si="2"/>
        <v>0</v>
      </c>
    </row>
    <row r="580" spans="2:4">
      <c r="B580" s="5">
        <f>SUMIF(Pagamenti!E$2:E1240,A580,Pagamenti!D$2:D1240)</f>
        <v>0</v>
      </c>
      <c r="C580" s="17">
        <f>IFERROR(VLOOKUP(A580,'Codici ATECO 2022'!A$2:C1240,3),0)</f>
        <v>0</v>
      </c>
      <c r="D580" s="5">
        <f t="shared" si="2"/>
        <v>0</v>
      </c>
    </row>
    <row r="581" spans="2:4">
      <c r="B581" s="5">
        <f>SUMIF(Pagamenti!E$2:E1240,A581,Pagamenti!D$2:D1240)</f>
        <v>0</v>
      </c>
      <c r="C581" s="17">
        <f>IFERROR(VLOOKUP(A581,'Codici ATECO 2022'!A$2:C1240,3),0)</f>
        <v>0</v>
      </c>
      <c r="D581" s="5">
        <f t="shared" si="2"/>
        <v>0</v>
      </c>
    </row>
    <row r="582" spans="2:4">
      <c r="B582" s="5">
        <f>SUMIF(Pagamenti!E$2:E1240,A582,Pagamenti!D$2:D1240)</f>
        <v>0</v>
      </c>
      <c r="C582" s="17">
        <f>IFERROR(VLOOKUP(A582,'Codici ATECO 2022'!A$2:C1240,3),0)</f>
        <v>0</v>
      </c>
      <c r="D582" s="5">
        <f t="shared" si="2"/>
        <v>0</v>
      </c>
    </row>
    <row r="583" spans="2:4">
      <c r="B583" s="5">
        <f>SUMIF(Pagamenti!E$2:E1240,A583,Pagamenti!D$2:D1240)</f>
        <v>0</v>
      </c>
      <c r="C583" s="17">
        <f>IFERROR(VLOOKUP(A583,'Codici ATECO 2022'!A$2:C1240,3),0)</f>
        <v>0</v>
      </c>
      <c r="D583" s="5">
        <f t="shared" si="2"/>
        <v>0</v>
      </c>
    </row>
    <row r="584" spans="2:4">
      <c r="B584" s="5">
        <f>SUMIF(Pagamenti!E$2:E1240,A584,Pagamenti!D$2:D1240)</f>
        <v>0</v>
      </c>
      <c r="C584" s="17">
        <f>IFERROR(VLOOKUP(A584,'Codici ATECO 2022'!A$2:C1240,3),0)</f>
        <v>0</v>
      </c>
      <c r="D584" s="5">
        <f t="shared" si="2"/>
        <v>0</v>
      </c>
    </row>
    <row r="585" spans="2:4">
      <c r="B585" s="5">
        <f>SUMIF(Pagamenti!E$2:E1240,A585,Pagamenti!D$2:D1240)</f>
        <v>0</v>
      </c>
      <c r="C585" s="17">
        <f>IFERROR(VLOOKUP(A585,'Codici ATECO 2022'!A$2:C1240,3),0)</f>
        <v>0</v>
      </c>
      <c r="D585" s="5">
        <f t="shared" si="2"/>
        <v>0</v>
      </c>
    </row>
    <row r="586" spans="2:4">
      <c r="B586" s="5">
        <f>SUMIF(Pagamenti!E$2:E1240,A586,Pagamenti!D$2:D1240)</f>
        <v>0</v>
      </c>
      <c r="C586" s="17">
        <f>IFERROR(VLOOKUP(A586,'Codici ATECO 2022'!A$2:C1240,3),0)</f>
        <v>0</v>
      </c>
      <c r="D586" s="5">
        <f t="shared" si="2"/>
        <v>0</v>
      </c>
    </row>
    <row r="587" spans="2:4">
      <c r="B587" s="5">
        <f>SUMIF(Pagamenti!E$2:E1240,A587,Pagamenti!D$2:D1240)</f>
        <v>0</v>
      </c>
      <c r="C587" s="17">
        <f>IFERROR(VLOOKUP(A587,'Codici ATECO 2022'!A$2:C1240,3),0)</f>
        <v>0</v>
      </c>
      <c r="D587" s="5">
        <f t="shared" si="2"/>
        <v>0</v>
      </c>
    </row>
    <row r="588" spans="2:4">
      <c r="B588" s="5">
        <f>SUMIF(Pagamenti!E$2:E1240,A588,Pagamenti!D$2:D1240)</f>
        <v>0</v>
      </c>
      <c r="C588" s="17">
        <f>IFERROR(VLOOKUP(A588,'Codici ATECO 2022'!A$2:C1240,3),0)</f>
        <v>0</v>
      </c>
      <c r="D588" s="5">
        <f t="shared" si="2"/>
        <v>0</v>
      </c>
    </row>
    <row r="589" spans="2:4">
      <c r="B589" s="5">
        <f>SUMIF(Pagamenti!E$2:E1240,A589,Pagamenti!D$2:D1240)</f>
        <v>0</v>
      </c>
      <c r="C589" s="17">
        <f>IFERROR(VLOOKUP(A589,'Codici ATECO 2022'!A$2:C1240,3),0)</f>
        <v>0</v>
      </c>
      <c r="D589" s="5">
        <f t="shared" si="2"/>
        <v>0</v>
      </c>
    </row>
    <row r="590" spans="2:4">
      <c r="B590" s="5">
        <f>SUMIF(Pagamenti!E$2:E1240,A590,Pagamenti!D$2:D1240)</f>
        <v>0</v>
      </c>
      <c r="C590" s="17">
        <f>IFERROR(VLOOKUP(A590,'Codici ATECO 2022'!A$2:C1240,3),0)</f>
        <v>0</v>
      </c>
      <c r="D590" s="5">
        <f t="shared" si="2"/>
        <v>0</v>
      </c>
    </row>
    <row r="591" spans="2:4">
      <c r="B591" s="5">
        <f>SUMIF(Pagamenti!E$2:E1240,A591,Pagamenti!D$2:D1240)</f>
        <v>0</v>
      </c>
      <c r="C591" s="17">
        <f>IFERROR(VLOOKUP(A591,'Codici ATECO 2022'!A$2:C1240,3),0)</f>
        <v>0</v>
      </c>
      <c r="D591" s="5">
        <f t="shared" si="2"/>
        <v>0</v>
      </c>
    </row>
    <row r="592" spans="2:4">
      <c r="B592" s="5">
        <f>SUMIF(Pagamenti!E$2:E1240,A592,Pagamenti!D$2:D1240)</f>
        <v>0</v>
      </c>
      <c r="C592" s="17">
        <f>IFERROR(VLOOKUP(A592,'Codici ATECO 2022'!A$2:C1240,3),0)</f>
        <v>0</v>
      </c>
      <c r="D592" s="5">
        <f t="shared" si="2"/>
        <v>0</v>
      </c>
    </row>
    <row r="593" spans="2:4">
      <c r="B593" s="5">
        <f>SUMIF(Pagamenti!E$2:E1240,A593,Pagamenti!D$2:D1240)</f>
        <v>0</v>
      </c>
      <c r="C593" s="17">
        <f>IFERROR(VLOOKUP(A593,'Codici ATECO 2022'!A$2:C1240,3),0)</f>
        <v>0</v>
      </c>
      <c r="D593" s="5">
        <f t="shared" si="2"/>
        <v>0</v>
      </c>
    </row>
    <row r="594" spans="2:4">
      <c r="B594" s="5">
        <f>SUMIF(Pagamenti!E$2:E1240,A594,Pagamenti!D$2:D1240)</f>
        <v>0</v>
      </c>
      <c r="C594" s="17">
        <f>IFERROR(VLOOKUP(A594,'Codici ATECO 2022'!A$2:C1240,3),0)</f>
        <v>0</v>
      </c>
      <c r="D594" s="5">
        <f t="shared" si="2"/>
        <v>0</v>
      </c>
    </row>
    <row r="595" spans="2:4">
      <c r="B595" s="5">
        <f>SUMIF(Pagamenti!E$2:E1240,A595,Pagamenti!D$2:D1240)</f>
        <v>0</v>
      </c>
      <c r="C595" s="17">
        <f>IFERROR(VLOOKUP(A595,'Codici ATECO 2022'!A$2:C1240,3),0)</f>
        <v>0</v>
      </c>
      <c r="D595" s="5">
        <f t="shared" si="2"/>
        <v>0</v>
      </c>
    </row>
    <row r="596" spans="2:4">
      <c r="B596" s="5">
        <f>SUMIF(Pagamenti!E$2:E1240,A596,Pagamenti!D$2:D1240)</f>
        <v>0</v>
      </c>
      <c r="C596" s="17">
        <f>IFERROR(VLOOKUP(A596,'Codici ATECO 2022'!A$2:C1240,3),0)</f>
        <v>0</v>
      </c>
      <c r="D596" s="5">
        <f t="shared" si="2"/>
        <v>0</v>
      </c>
    </row>
    <row r="597" spans="2:4">
      <c r="B597" s="5">
        <f>SUMIF(Pagamenti!E$2:E1240,A597,Pagamenti!D$2:D1240)</f>
        <v>0</v>
      </c>
      <c r="C597" s="17">
        <f>IFERROR(VLOOKUP(A597,'Codici ATECO 2022'!A$2:C1240,3),0)</f>
        <v>0</v>
      </c>
      <c r="D597" s="5">
        <f t="shared" si="2"/>
        <v>0</v>
      </c>
    </row>
    <row r="598" spans="2:4">
      <c r="B598" s="5">
        <f>SUMIF(Pagamenti!E$2:E1240,A598,Pagamenti!D$2:D1240)</f>
        <v>0</v>
      </c>
      <c r="C598" s="17">
        <f>IFERROR(VLOOKUP(A598,'Codici ATECO 2022'!A$2:C1240,3),0)</f>
        <v>0</v>
      </c>
      <c r="D598" s="5">
        <f t="shared" si="2"/>
        <v>0</v>
      </c>
    </row>
    <row r="599" spans="2:4">
      <c r="B599" s="5">
        <f>SUMIF(Pagamenti!E$2:E1240,A599,Pagamenti!D$2:D1240)</f>
        <v>0</v>
      </c>
      <c r="C599" s="17">
        <f>IFERROR(VLOOKUP(A599,'Codici ATECO 2022'!A$2:C1240,3),0)</f>
        <v>0</v>
      </c>
      <c r="D599" s="5">
        <f t="shared" si="2"/>
        <v>0</v>
      </c>
    </row>
    <row r="600" spans="2:4">
      <c r="B600" s="5">
        <f>SUMIF(Pagamenti!E$2:E1240,A600,Pagamenti!D$2:D1240)</f>
        <v>0</v>
      </c>
      <c r="C600" s="17">
        <f>IFERROR(VLOOKUP(A600,'Codici ATECO 2022'!A$2:C1240,3),0)</f>
        <v>0</v>
      </c>
      <c r="D600" s="5">
        <f t="shared" si="2"/>
        <v>0</v>
      </c>
    </row>
    <row r="601" spans="2:4">
      <c r="B601" s="5">
        <f>SUMIF(Pagamenti!E$2:E1240,A601,Pagamenti!D$2:D1240)</f>
        <v>0</v>
      </c>
      <c r="C601" s="17">
        <f>IFERROR(VLOOKUP(A601,'Codici ATECO 2022'!A$2:C1240,3),0)</f>
        <v>0</v>
      </c>
      <c r="D601" s="5">
        <f t="shared" si="2"/>
        <v>0</v>
      </c>
    </row>
    <row r="602" spans="2:4">
      <c r="B602" s="5">
        <f>SUMIF(Pagamenti!E$2:E1240,A602,Pagamenti!D$2:D1240)</f>
        <v>0</v>
      </c>
      <c r="C602" s="17">
        <f>IFERROR(VLOOKUP(A602,'Codici ATECO 2022'!A$2:C1240,3),0)</f>
        <v>0</v>
      </c>
      <c r="D602" s="5">
        <f t="shared" si="2"/>
        <v>0</v>
      </c>
    </row>
    <row r="603" spans="2:4">
      <c r="B603" s="5">
        <f>SUMIF(Pagamenti!E$2:E1240,A603,Pagamenti!D$2:D1240)</f>
        <v>0</v>
      </c>
      <c r="C603" s="17">
        <f>IFERROR(VLOOKUP(A603,'Codici ATECO 2022'!A$2:C1240,3),0)</f>
        <v>0</v>
      </c>
      <c r="D603" s="5">
        <f t="shared" si="2"/>
        <v>0</v>
      </c>
    </row>
    <row r="604" spans="2:4">
      <c r="B604" s="5">
        <f>SUMIF(Pagamenti!E$2:E1240,A604,Pagamenti!D$2:D1240)</f>
        <v>0</v>
      </c>
      <c r="C604" s="17">
        <f>IFERROR(VLOOKUP(A604,'Codici ATECO 2022'!A$2:C1240,3),0)</f>
        <v>0</v>
      </c>
      <c r="D604" s="5">
        <f t="shared" si="2"/>
        <v>0</v>
      </c>
    </row>
    <row r="605" spans="2:4">
      <c r="B605" s="5">
        <f>SUMIF(Pagamenti!E$2:E1240,A605,Pagamenti!D$2:D1240)</f>
        <v>0</v>
      </c>
      <c r="C605" s="17">
        <f>IFERROR(VLOOKUP(A605,'Codici ATECO 2022'!A$2:C1240,3),0)</f>
        <v>0</v>
      </c>
      <c r="D605" s="5">
        <f t="shared" si="2"/>
        <v>0</v>
      </c>
    </row>
    <row r="606" spans="2:4">
      <c r="B606" s="5">
        <f>SUMIF(Pagamenti!E$2:E1240,A606,Pagamenti!D$2:D1240)</f>
        <v>0</v>
      </c>
      <c r="C606" s="17">
        <f>IFERROR(VLOOKUP(A606,'Codici ATECO 2022'!A$2:C1240,3),0)</f>
        <v>0</v>
      </c>
      <c r="D606" s="5">
        <f t="shared" si="2"/>
        <v>0</v>
      </c>
    </row>
    <row r="607" spans="2:4">
      <c r="B607" s="5">
        <f>SUMIF(Pagamenti!E$2:E1240,A607,Pagamenti!D$2:D1240)</f>
        <v>0</v>
      </c>
      <c r="C607" s="17">
        <f>IFERROR(VLOOKUP(A607,'Codici ATECO 2022'!A$2:C1240,3),0)</f>
        <v>0</v>
      </c>
      <c r="D607" s="5">
        <f t="shared" si="2"/>
        <v>0</v>
      </c>
    </row>
    <row r="608" spans="2:4">
      <c r="B608" s="5">
        <f>SUMIF(Pagamenti!E$2:E1240,A608,Pagamenti!D$2:D1240)</f>
        <v>0</v>
      </c>
      <c r="C608" s="17">
        <f>IFERROR(VLOOKUP(A608,'Codici ATECO 2022'!A$2:C1240,3),0)</f>
        <v>0</v>
      </c>
      <c r="D608" s="5">
        <f t="shared" si="2"/>
        <v>0</v>
      </c>
    </row>
    <row r="609" spans="2:4">
      <c r="B609" s="5">
        <f>SUMIF(Pagamenti!E$2:E1240,A609,Pagamenti!D$2:D1240)</f>
        <v>0</v>
      </c>
      <c r="C609" s="17">
        <f>IFERROR(VLOOKUP(A609,'Codici ATECO 2022'!A$2:C1240,3),0)</f>
        <v>0</v>
      </c>
      <c r="D609" s="5">
        <f t="shared" si="2"/>
        <v>0</v>
      </c>
    </row>
    <row r="610" spans="2:4">
      <c r="B610" s="5">
        <f>SUMIF(Pagamenti!E$2:E1240,A610,Pagamenti!D$2:D1240)</f>
        <v>0</v>
      </c>
      <c r="C610" s="17">
        <f>IFERROR(VLOOKUP(A610,'Codici ATECO 2022'!A$2:C1240,3),0)</f>
        <v>0</v>
      </c>
      <c r="D610" s="5">
        <f t="shared" si="2"/>
        <v>0</v>
      </c>
    </row>
    <row r="611" spans="2:4">
      <c r="B611" s="5">
        <f>SUMIF(Pagamenti!E$2:E1240,A611,Pagamenti!D$2:D1240)</f>
        <v>0</v>
      </c>
      <c r="C611" s="17">
        <f>IFERROR(VLOOKUP(A611,'Codici ATECO 2022'!A$2:C1240,3),0)</f>
        <v>0</v>
      </c>
      <c r="D611" s="5">
        <f t="shared" si="2"/>
        <v>0</v>
      </c>
    </row>
    <row r="612" spans="2:4">
      <c r="B612" s="5">
        <f>SUMIF(Pagamenti!E$2:E1240,A612,Pagamenti!D$2:D1240)</f>
        <v>0</v>
      </c>
      <c r="C612" s="17">
        <f>IFERROR(VLOOKUP(A612,'Codici ATECO 2022'!A$2:C1240,3),0)</f>
        <v>0</v>
      </c>
      <c r="D612" s="5">
        <f t="shared" si="2"/>
        <v>0</v>
      </c>
    </row>
    <row r="613" spans="2:4">
      <c r="B613" s="5">
        <f>SUMIF(Pagamenti!E$2:E1240,A613,Pagamenti!D$2:D1240)</f>
        <v>0</v>
      </c>
      <c r="C613" s="17">
        <f>IFERROR(VLOOKUP(A613,'Codici ATECO 2022'!A$2:C1240,3),0)</f>
        <v>0</v>
      </c>
      <c r="D613" s="5">
        <f t="shared" si="2"/>
        <v>0</v>
      </c>
    </row>
    <row r="614" spans="2:4">
      <c r="B614" s="5">
        <f>SUMIF(Pagamenti!E$2:E1240,A614,Pagamenti!D$2:D1240)</f>
        <v>0</v>
      </c>
      <c r="C614" s="17">
        <f>IFERROR(VLOOKUP(A614,'Codici ATECO 2022'!A$2:C1240,3),0)</f>
        <v>0</v>
      </c>
      <c r="D614" s="5">
        <f t="shared" si="2"/>
        <v>0</v>
      </c>
    </row>
    <row r="615" spans="2:4">
      <c r="B615" s="5">
        <f>SUMIF(Pagamenti!E$2:E1240,A615,Pagamenti!D$2:D1240)</f>
        <v>0</v>
      </c>
      <c r="C615" s="17">
        <f>IFERROR(VLOOKUP(A615,'Codici ATECO 2022'!A$2:C1240,3),0)</f>
        <v>0</v>
      </c>
      <c r="D615" s="5">
        <f t="shared" si="2"/>
        <v>0</v>
      </c>
    </row>
    <row r="616" spans="2:4">
      <c r="B616" s="5">
        <f>SUMIF(Pagamenti!E$2:E1240,A616,Pagamenti!D$2:D1240)</f>
        <v>0</v>
      </c>
      <c r="C616" s="17">
        <f>IFERROR(VLOOKUP(A616,'Codici ATECO 2022'!A$2:C1240,3),0)</f>
        <v>0</v>
      </c>
      <c r="D616" s="5">
        <f t="shared" si="2"/>
        <v>0</v>
      </c>
    </row>
    <row r="617" spans="2:4">
      <c r="B617" s="5">
        <f>SUMIF(Pagamenti!E$2:E1240,A617,Pagamenti!D$2:D1240)</f>
        <v>0</v>
      </c>
      <c r="C617" s="17">
        <f>IFERROR(VLOOKUP(A617,'Codici ATECO 2022'!A$2:C1240,3),0)</f>
        <v>0</v>
      </c>
      <c r="D617" s="5">
        <f t="shared" si="2"/>
        <v>0</v>
      </c>
    </row>
    <row r="618" spans="2:4">
      <c r="B618" s="5">
        <f>SUMIF(Pagamenti!E$2:E1240,A618,Pagamenti!D$2:D1240)</f>
        <v>0</v>
      </c>
      <c r="C618" s="17">
        <f>IFERROR(VLOOKUP(A618,'Codici ATECO 2022'!A$2:C1240,3),0)</f>
        <v>0</v>
      </c>
      <c r="D618" s="5">
        <f t="shared" si="2"/>
        <v>0</v>
      </c>
    </row>
    <row r="619" spans="2:4">
      <c r="B619" s="5">
        <f>SUMIF(Pagamenti!E$2:E1240,A619,Pagamenti!D$2:D1240)</f>
        <v>0</v>
      </c>
      <c r="C619" s="17">
        <f>IFERROR(VLOOKUP(A619,'Codici ATECO 2022'!A$2:C1240,3),0)</f>
        <v>0</v>
      </c>
      <c r="D619" s="5">
        <f t="shared" si="2"/>
        <v>0</v>
      </c>
    </row>
    <row r="620" spans="2:4">
      <c r="B620" s="5">
        <f>SUMIF(Pagamenti!E$2:E1240,A620,Pagamenti!D$2:D1240)</f>
        <v>0</v>
      </c>
      <c r="C620" s="17">
        <f>IFERROR(VLOOKUP(A620,'Codici ATECO 2022'!A$2:C1240,3),0)</f>
        <v>0</v>
      </c>
      <c r="D620" s="5">
        <f t="shared" si="2"/>
        <v>0</v>
      </c>
    </row>
    <row r="621" spans="2:4">
      <c r="B621" s="5">
        <f>SUMIF(Pagamenti!E$2:E1240,A621,Pagamenti!D$2:D1240)</f>
        <v>0</v>
      </c>
      <c r="C621" s="17">
        <f>IFERROR(VLOOKUP(A621,'Codici ATECO 2022'!A$2:C1240,3),0)</f>
        <v>0</v>
      </c>
      <c r="D621" s="5">
        <f t="shared" si="2"/>
        <v>0</v>
      </c>
    </row>
    <row r="622" spans="2:4">
      <c r="B622" s="5">
        <f>SUMIF(Pagamenti!E$2:E1240,A622,Pagamenti!D$2:D1240)</f>
        <v>0</v>
      </c>
      <c r="C622" s="17">
        <f>IFERROR(VLOOKUP(A622,'Codici ATECO 2022'!A$2:C1240,3),0)</f>
        <v>0</v>
      </c>
      <c r="D622" s="5">
        <f t="shared" si="2"/>
        <v>0</v>
      </c>
    </row>
    <row r="623" spans="2:4">
      <c r="B623" s="5">
        <f>SUMIF(Pagamenti!E$2:E1240,A623,Pagamenti!D$2:D1240)</f>
        <v>0</v>
      </c>
      <c r="C623" s="17">
        <f>IFERROR(VLOOKUP(A623,'Codici ATECO 2022'!A$2:C1240,3),0)</f>
        <v>0</v>
      </c>
      <c r="D623" s="5">
        <f t="shared" si="2"/>
        <v>0</v>
      </c>
    </row>
    <row r="624" spans="2:4">
      <c r="B624" s="5">
        <f>SUMIF(Pagamenti!E$2:E1240,A624,Pagamenti!D$2:D1240)</f>
        <v>0</v>
      </c>
      <c r="C624" s="17">
        <f>IFERROR(VLOOKUP(A624,'Codici ATECO 2022'!A$2:C1240,3),0)</f>
        <v>0</v>
      </c>
      <c r="D624" s="5">
        <f t="shared" si="2"/>
        <v>0</v>
      </c>
    </row>
    <row r="625" spans="2:4">
      <c r="B625" s="5">
        <f>SUMIF(Pagamenti!E$2:E1240,A625,Pagamenti!D$2:D1240)</f>
        <v>0</v>
      </c>
      <c r="C625" s="17">
        <f>IFERROR(VLOOKUP(A625,'Codici ATECO 2022'!A$2:C1240,3),0)</f>
        <v>0</v>
      </c>
      <c r="D625" s="5">
        <f t="shared" si="2"/>
        <v>0</v>
      </c>
    </row>
    <row r="626" spans="2:4">
      <c r="B626" s="5">
        <f>SUMIF(Pagamenti!E$2:E1240,A626,Pagamenti!D$2:D1240)</f>
        <v>0</v>
      </c>
      <c r="C626" s="17">
        <f>IFERROR(VLOOKUP(A626,'Codici ATECO 2022'!A$2:C1240,3),0)</f>
        <v>0</v>
      </c>
      <c r="D626" s="5">
        <f t="shared" si="2"/>
        <v>0</v>
      </c>
    </row>
    <row r="627" spans="2:4">
      <c r="B627" s="5">
        <f>SUMIF(Pagamenti!E$2:E1240,A627,Pagamenti!D$2:D1240)</f>
        <v>0</v>
      </c>
      <c r="C627" s="17">
        <f>IFERROR(VLOOKUP(A627,'Codici ATECO 2022'!A$2:C1240,3),0)</f>
        <v>0</v>
      </c>
      <c r="D627" s="5">
        <f t="shared" si="2"/>
        <v>0</v>
      </c>
    </row>
    <row r="628" spans="2:4">
      <c r="B628" s="5">
        <f>SUMIF(Pagamenti!E$2:E1240,A628,Pagamenti!D$2:D1240)</f>
        <v>0</v>
      </c>
      <c r="C628" s="17">
        <f>IFERROR(VLOOKUP(A628,'Codici ATECO 2022'!A$2:C1240,3),0)</f>
        <v>0</v>
      </c>
      <c r="D628" s="5">
        <f t="shared" si="2"/>
        <v>0</v>
      </c>
    </row>
    <row r="629" spans="2:4">
      <c r="B629" s="5">
        <f>SUMIF(Pagamenti!E$2:E1240,A629,Pagamenti!D$2:D1240)</f>
        <v>0</v>
      </c>
      <c r="C629" s="17">
        <f>IFERROR(VLOOKUP(A629,'Codici ATECO 2022'!A$2:C1240,3),0)</f>
        <v>0</v>
      </c>
      <c r="D629" s="5">
        <f t="shared" si="2"/>
        <v>0</v>
      </c>
    </row>
    <row r="630" spans="2:4">
      <c r="B630" s="5">
        <f>SUMIF(Pagamenti!E$2:E1240,A630,Pagamenti!D$2:D1240)</f>
        <v>0</v>
      </c>
      <c r="C630" s="17">
        <f>IFERROR(VLOOKUP(A630,'Codici ATECO 2022'!A$2:C1240,3),0)</f>
        <v>0</v>
      </c>
      <c r="D630" s="5">
        <f t="shared" si="2"/>
        <v>0</v>
      </c>
    </row>
    <row r="631" spans="2:4">
      <c r="B631" s="5">
        <f>SUMIF(Pagamenti!E$2:E1240,A631,Pagamenti!D$2:D1240)</f>
        <v>0</v>
      </c>
      <c r="C631" s="17">
        <f>IFERROR(VLOOKUP(A631,'Codici ATECO 2022'!A$2:C1240,3),0)</f>
        <v>0</v>
      </c>
      <c r="D631" s="5">
        <f t="shared" si="2"/>
        <v>0</v>
      </c>
    </row>
    <row r="632" spans="2:4">
      <c r="B632" s="5">
        <f>SUMIF(Pagamenti!E$2:E1240,A632,Pagamenti!D$2:D1240)</f>
        <v>0</v>
      </c>
      <c r="C632" s="17">
        <f>IFERROR(VLOOKUP(A632,'Codici ATECO 2022'!A$2:C1240,3),0)</f>
        <v>0</v>
      </c>
      <c r="D632" s="5">
        <f t="shared" si="2"/>
        <v>0</v>
      </c>
    </row>
    <row r="633" spans="2:4">
      <c r="B633" s="5">
        <f>SUMIF(Pagamenti!E$2:E1240,A633,Pagamenti!D$2:D1240)</f>
        <v>0</v>
      </c>
      <c r="C633" s="17">
        <f>IFERROR(VLOOKUP(A633,'Codici ATECO 2022'!A$2:C1240,3),0)</f>
        <v>0</v>
      </c>
      <c r="D633" s="5">
        <f t="shared" si="2"/>
        <v>0</v>
      </c>
    </row>
    <row r="634" spans="2:4">
      <c r="B634" s="5">
        <f>SUMIF(Pagamenti!E$2:E1240,A634,Pagamenti!D$2:D1240)</f>
        <v>0</v>
      </c>
      <c r="C634" s="17">
        <f>IFERROR(VLOOKUP(A634,'Codici ATECO 2022'!A$2:C1240,3),0)</f>
        <v>0</v>
      </c>
      <c r="D634" s="5">
        <f t="shared" si="2"/>
        <v>0</v>
      </c>
    </row>
    <row r="635" spans="2:4">
      <c r="B635" s="5">
        <f>SUMIF(Pagamenti!E$2:E1240,A635,Pagamenti!D$2:D1240)</f>
        <v>0</v>
      </c>
      <c r="C635" s="17">
        <f>IFERROR(VLOOKUP(A635,'Codici ATECO 2022'!A$2:C1240,3),0)</f>
        <v>0</v>
      </c>
      <c r="D635" s="5">
        <f t="shared" si="2"/>
        <v>0</v>
      </c>
    </row>
    <row r="636" spans="2:4">
      <c r="B636" s="5">
        <f>SUMIF(Pagamenti!E$2:E1240,A636,Pagamenti!D$2:D1240)</f>
        <v>0</v>
      </c>
      <c r="C636" s="17">
        <f>IFERROR(VLOOKUP(A636,'Codici ATECO 2022'!A$2:C1240,3),0)</f>
        <v>0</v>
      </c>
      <c r="D636" s="5">
        <f t="shared" si="2"/>
        <v>0</v>
      </c>
    </row>
    <row r="637" spans="2:4">
      <c r="B637" s="5">
        <f>SUMIF(Pagamenti!E$2:E1240,A637,Pagamenti!D$2:D1240)</f>
        <v>0</v>
      </c>
      <c r="C637" s="17">
        <f>IFERROR(VLOOKUP(A637,'Codici ATECO 2022'!A$2:C1240,3),0)</f>
        <v>0</v>
      </c>
      <c r="D637" s="5">
        <f t="shared" si="2"/>
        <v>0</v>
      </c>
    </row>
    <row r="638" spans="2:4">
      <c r="B638" s="5">
        <f>SUMIF(Pagamenti!E$2:E1240,A638,Pagamenti!D$2:D1240)</f>
        <v>0</v>
      </c>
      <c r="C638" s="17">
        <f>IFERROR(VLOOKUP(A638,'Codici ATECO 2022'!A$2:C1240,3),0)</f>
        <v>0</v>
      </c>
      <c r="D638" s="5">
        <f t="shared" si="2"/>
        <v>0</v>
      </c>
    </row>
    <row r="639" spans="2:4">
      <c r="B639" s="5">
        <f>SUMIF(Pagamenti!E$2:E1240,A639,Pagamenti!D$2:D1240)</f>
        <v>0</v>
      </c>
      <c r="C639" s="17">
        <f>IFERROR(VLOOKUP(A639,'Codici ATECO 2022'!A$2:C1240,3),0)</f>
        <v>0</v>
      </c>
      <c r="D639" s="5">
        <f t="shared" si="2"/>
        <v>0</v>
      </c>
    </row>
    <row r="640" spans="2:4">
      <c r="B640" s="5">
        <f>SUMIF(Pagamenti!E$2:E1240,A640,Pagamenti!D$2:D1240)</f>
        <v>0</v>
      </c>
      <c r="C640" s="17">
        <f>IFERROR(VLOOKUP(A640,'Codici ATECO 2022'!A$2:C1240,3),0)</f>
        <v>0</v>
      </c>
      <c r="D640" s="5">
        <f t="shared" si="2"/>
        <v>0</v>
      </c>
    </row>
    <row r="641" spans="2:4">
      <c r="B641" s="5">
        <f>SUMIF(Pagamenti!E$2:E1240,A641,Pagamenti!D$2:D1240)</f>
        <v>0</v>
      </c>
      <c r="C641" s="17">
        <f>IFERROR(VLOOKUP(A641,'Codici ATECO 2022'!A$2:C1240,3),0)</f>
        <v>0</v>
      </c>
      <c r="D641" s="5">
        <f t="shared" si="2"/>
        <v>0</v>
      </c>
    </row>
    <row r="642" spans="2:4">
      <c r="B642" s="5">
        <f>SUMIF(Pagamenti!E$2:E1240,A642,Pagamenti!D$2:D1240)</f>
        <v>0</v>
      </c>
      <c r="C642" s="17">
        <f>IFERROR(VLOOKUP(A642,'Codici ATECO 2022'!A$2:C1240,3),0)</f>
        <v>0</v>
      </c>
      <c r="D642" s="5">
        <f t="shared" si="2"/>
        <v>0</v>
      </c>
    </row>
    <row r="643" spans="2:4">
      <c r="B643" s="5">
        <f>SUMIF(Pagamenti!E$2:E1240,A643,Pagamenti!D$2:D1240)</f>
        <v>0</v>
      </c>
      <c r="C643" s="17">
        <f>IFERROR(VLOOKUP(A643,'Codici ATECO 2022'!A$2:C1240,3),0)</f>
        <v>0</v>
      </c>
      <c r="D643" s="5">
        <f t="shared" si="2"/>
        <v>0</v>
      </c>
    </row>
    <row r="644" spans="2:4">
      <c r="B644" s="5">
        <f>SUMIF(Pagamenti!E$2:E1240,A644,Pagamenti!D$2:D1240)</f>
        <v>0</v>
      </c>
      <c r="C644" s="17">
        <f>IFERROR(VLOOKUP(A644,'Codici ATECO 2022'!A$2:C1240,3),0)</f>
        <v>0</v>
      </c>
      <c r="D644" s="5">
        <f t="shared" si="2"/>
        <v>0</v>
      </c>
    </row>
    <row r="645" spans="2:4">
      <c r="B645" s="5">
        <f>SUMIF(Pagamenti!E$2:E1240,A645,Pagamenti!D$2:D1240)</f>
        <v>0</v>
      </c>
      <c r="C645" s="17">
        <f>IFERROR(VLOOKUP(A645,'Codici ATECO 2022'!A$2:C1240,3),0)</f>
        <v>0</v>
      </c>
      <c r="D645" s="5">
        <f t="shared" si="2"/>
        <v>0</v>
      </c>
    </row>
    <row r="646" spans="2:4">
      <c r="B646" s="5">
        <f>SUMIF(Pagamenti!E$2:E1240,A646,Pagamenti!D$2:D1240)</f>
        <v>0</v>
      </c>
      <c r="C646" s="17">
        <f>IFERROR(VLOOKUP(A646,'Codici ATECO 2022'!A$2:C1240,3),0)</f>
        <v>0</v>
      </c>
      <c r="D646" s="5">
        <f t="shared" si="2"/>
        <v>0</v>
      </c>
    </row>
    <row r="647" spans="2:4">
      <c r="B647" s="5">
        <f>SUMIF(Pagamenti!E$2:E1240,A647,Pagamenti!D$2:D1240)</f>
        <v>0</v>
      </c>
      <c r="C647" s="17">
        <f>IFERROR(VLOOKUP(A647,'Codici ATECO 2022'!A$2:C1240,3),0)</f>
        <v>0</v>
      </c>
      <c r="D647" s="5">
        <f t="shared" si="2"/>
        <v>0</v>
      </c>
    </row>
    <row r="648" spans="2:4">
      <c r="B648" s="5">
        <f>SUMIF(Pagamenti!E$2:E1240,A648,Pagamenti!D$2:D1240)</f>
        <v>0</v>
      </c>
      <c r="C648" s="17">
        <f>IFERROR(VLOOKUP(A648,'Codici ATECO 2022'!A$2:C1240,3),0)</f>
        <v>0</v>
      </c>
      <c r="D648" s="5">
        <f t="shared" si="2"/>
        <v>0</v>
      </c>
    </row>
    <row r="649" spans="2:4">
      <c r="B649" s="5">
        <f>SUMIF(Pagamenti!E$2:E1240,A649,Pagamenti!D$2:D1240)</f>
        <v>0</v>
      </c>
      <c r="C649" s="17">
        <f>IFERROR(VLOOKUP(A649,'Codici ATECO 2022'!A$2:C1240,3),0)</f>
        <v>0</v>
      </c>
      <c r="D649" s="5">
        <f t="shared" si="2"/>
        <v>0</v>
      </c>
    </row>
    <row r="650" spans="2:4">
      <c r="B650" s="5">
        <f>SUMIF(Pagamenti!E$2:E1240,A650,Pagamenti!D$2:D1240)</f>
        <v>0</v>
      </c>
      <c r="C650" s="17">
        <f>IFERROR(VLOOKUP(A650,'Codici ATECO 2022'!A$2:C1240,3),0)</f>
        <v>0</v>
      </c>
      <c r="D650" s="5">
        <f t="shared" si="2"/>
        <v>0</v>
      </c>
    </row>
    <row r="651" spans="2:4">
      <c r="B651" s="5">
        <f>SUMIF(Pagamenti!E$2:E1240,A651,Pagamenti!D$2:D1240)</f>
        <v>0</v>
      </c>
      <c r="C651" s="17">
        <f>IFERROR(VLOOKUP(A651,'Codici ATECO 2022'!A$2:C1240,3),0)</f>
        <v>0</v>
      </c>
      <c r="D651" s="5">
        <f t="shared" si="2"/>
        <v>0</v>
      </c>
    </row>
    <row r="652" spans="2:4">
      <c r="B652" s="5">
        <f>SUMIF(Pagamenti!E$2:E1240,A652,Pagamenti!D$2:D1240)</f>
        <v>0</v>
      </c>
      <c r="C652" s="17">
        <f>IFERROR(VLOOKUP(A652,'Codici ATECO 2022'!A$2:C1240,3),0)</f>
        <v>0</v>
      </c>
      <c r="D652" s="5">
        <f t="shared" si="2"/>
        <v>0</v>
      </c>
    </row>
    <row r="653" spans="2:4">
      <c r="B653" s="5">
        <f>SUMIF(Pagamenti!E$2:E1240,A653,Pagamenti!D$2:D1240)</f>
        <v>0</v>
      </c>
      <c r="C653" s="17">
        <f>IFERROR(VLOOKUP(A653,'Codici ATECO 2022'!A$2:C1240,3),0)</f>
        <v>0</v>
      </c>
      <c r="D653" s="5">
        <f t="shared" si="2"/>
        <v>0</v>
      </c>
    </row>
    <row r="654" spans="2:4">
      <c r="B654" s="5">
        <f>SUMIF(Pagamenti!E$2:E1240,A654,Pagamenti!D$2:D1240)</f>
        <v>0</v>
      </c>
      <c r="C654" s="17">
        <f>IFERROR(VLOOKUP(A654,'Codici ATECO 2022'!A$2:C1240,3),0)</f>
        <v>0</v>
      </c>
      <c r="D654" s="5">
        <f t="shared" si="2"/>
        <v>0</v>
      </c>
    </row>
    <row r="655" spans="2:4">
      <c r="B655" s="5">
        <f>SUMIF(Pagamenti!E$2:E1240,A655,Pagamenti!D$2:D1240)</f>
        <v>0</v>
      </c>
      <c r="C655" s="17">
        <f>IFERROR(VLOOKUP(A655,'Codici ATECO 2022'!A$2:C1240,3),0)</f>
        <v>0</v>
      </c>
      <c r="D655" s="5">
        <f t="shared" si="2"/>
        <v>0</v>
      </c>
    </row>
    <row r="656" spans="2:4">
      <c r="B656" s="5">
        <f>SUMIF(Pagamenti!E$2:E1240,A656,Pagamenti!D$2:D1240)</f>
        <v>0</v>
      </c>
      <c r="C656" s="17">
        <f>IFERROR(VLOOKUP(A656,'Codici ATECO 2022'!A$2:C1240,3),0)</f>
        <v>0</v>
      </c>
      <c r="D656" s="5">
        <f t="shared" si="2"/>
        <v>0</v>
      </c>
    </row>
    <row r="657" spans="2:4">
      <c r="B657" s="5">
        <f>SUMIF(Pagamenti!E$2:E1240,A657,Pagamenti!D$2:D1240)</f>
        <v>0</v>
      </c>
      <c r="C657" s="17">
        <f>IFERROR(VLOOKUP(A657,'Codici ATECO 2022'!A$2:C1240,3),0)</f>
        <v>0</v>
      </c>
      <c r="D657" s="5">
        <f t="shared" si="2"/>
        <v>0</v>
      </c>
    </row>
    <row r="658" spans="2:4">
      <c r="B658" s="5">
        <f>SUMIF(Pagamenti!E$2:E1240,A658,Pagamenti!D$2:D1240)</f>
        <v>0</v>
      </c>
      <c r="C658" s="17">
        <f>IFERROR(VLOOKUP(A658,'Codici ATECO 2022'!A$2:C1240,3),0)</f>
        <v>0</v>
      </c>
      <c r="D658" s="5">
        <f t="shared" si="2"/>
        <v>0</v>
      </c>
    </row>
    <row r="659" spans="2:4">
      <c r="B659" s="5">
        <f>SUMIF(Pagamenti!E$2:E1240,A659,Pagamenti!D$2:D1240)</f>
        <v>0</v>
      </c>
      <c r="C659" s="17">
        <f>IFERROR(VLOOKUP(A659,'Codici ATECO 2022'!A$2:C1240,3),0)</f>
        <v>0</v>
      </c>
      <c r="D659" s="5">
        <f t="shared" si="2"/>
        <v>0</v>
      </c>
    </row>
    <row r="660" spans="2:4">
      <c r="B660" s="5">
        <f>SUMIF(Pagamenti!E$2:E1240,A660,Pagamenti!D$2:D1240)</f>
        <v>0</v>
      </c>
      <c r="C660" s="17">
        <f>IFERROR(VLOOKUP(A660,'Codici ATECO 2022'!A$2:C1240,3),0)</f>
        <v>0</v>
      </c>
      <c r="D660" s="5">
        <f t="shared" si="2"/>
        <v>0</v>
      </c>
    </row>
    <row r="661" spans="2:4">
      <c r="B661" s="5">
        <f>SUMIF(Pagamenti!E$2:E1240,A661,Pagamenti!D$2:D1240)</f>
        <v>0</v>
      </c>
      <c r="C661" s="17">
        <f>IFERROR(VLOOKUP(A661,'Codici ATECO 2022'!A$2:C1240,3),0)</f>
        <v>0</v>
      </c>
      <c r="D661" s="5">
        <f t="shared" si="2"/>
        <v>0</v>
      </c>
    </row>
    <row r="662" spans="2:4">
      <c r="B662" s="5">
        <f>SUMIF(Pagamenti!E$2:E1240,A662,Pagamenti!D$2:D1240)</f>
        <v>0</v>
      </c>
      <c r="C662" s="17">
        <f>IFERROR(VLOOKUP(A662,'Codici ATECO 2022'!A$2:C1240,3),0)</f>
        <v>0</v>
      </c>
      <c r="D662" s="5">
        <f t="shared" si="2"/>
        <v>0</v>
      </c>
    </row>
    <row r="663" spans="2:4">
      <c r="B663" s="5">
        <f>SUMIF(Pagamenti!E$2:E1240,A663,Pagamenti!D$2:D1240)</f>
        <v>0</v>
      </c>
      <c r="C663" s="17">
        <f>IFERROR(VLOOKUP(A663,'Codici ATECO 2022'!A$2:C1240,3),0)</f>
        <v>0</v>
      </c>
      <c r="D663" s="5">
        <f t="shared" si="2"/>
        <v>0</v>
      </c>
    </row>
    <row r="664" spans="2:4">
      <c r="B664" s="5">
        <f>SUMIF(Pagamenti!E$2:E1240,A664,Pagamenti!D$2:D1240)</f>
        <v>0</v>
      </c>
      <c r="C664" s="17">
        <f>IFERROR(VLOOKUP(A664,'Codici ATECO 2022'!A$2:C1240,3),0)</f>
        <v>0</v>
      </c>
      <c r="D664" s="5">
        <f t="shared" si="2"/>
        <v>0</v>
      </c>
    </row>
    <row r="665" spans="2:4">
      <c r="B665" s="5">
        <f>SUMIF(Pagamenti!E$2:E1240,A665,Pagamenti!D$2:D1240)</f>
        <v>0</v>
      </c>
      <c r="C665" s="17">
        <f>IFERROR(VLOOKUP(A665,'Codici ATECO 2022'!A$2:C1240,3),0)</f>
        <v>0</v>
      </c>
      <c r="D665" s="5">
        <f t="shared" si="2"/>
        <v>0</v>
      </c>
    </row>
    <row r="666" spans="2:4">
      <c r="B666" s="5">
        <f>SUMIF(Pagamenti!E$2:E1240,A666,Pagamenti!D$2:D1240)</f>
        <v>0</v>
      </c>
      <c r="C666" s="17">
        <f>IFERROR(VLOOKUP(A666,'Codici ATECO 2022'!A$2:C1240,3),0)</f>
        <v>0</v>
      </c>
      <c r="D666" s="5">
        <f t="shared" si="2"/>
        <v>0</v>
      </c>
    </row>
    <row r="667" spans="2:4">
      <c r="B667" s="5">
        <f>SUMIF(Pagamenti!E$2:E1240,A667,Pagamenti!D$2:D1240)</f>
        <v>0</v>
      </c>
      <c r="C667" s="17">
        <f>IFERROR(VLOOKUP(A667,'Codici ATECO 2022'!A$2:C1240,3),0)</f>
        <v>0</v>
      </c>
      <c r="D667" s="5">
        <f t="shared" si="2"/>
        <v>0</v>
      </c>
    </row>
    <row r="668" spans="2:4">
      <c r="B668" s="5">
        <f>SUMIF(Pagamenti!E$2:E1240,A668,Pagamenti!D$2:D1240)</f>
        <v>0</v>
      </c>
      <c r="C668" s="17">
        <f>IFERROR(VLOOKUP(A668,'Codici ATECO 2022'!A$2:C1240,3),0)</f>
        <v>0</v>
      </c>
      <c r="D668" s="5">
        <f t="shared" si="2"/>
        <v>0</v>
      </c>
    </row>
    <row r="669" spans="2:4">
      <c r="B669" s="5">
        <f>SUMIF(Pagamenti!E$2:E1240,A669,Pagamenti!D$2:D1240)</f>
        <v>0</v>
      </c>
      <c r="C669" s="17">
        <f>IFERROR(VLOOKUP(A669,'Codici ATECO 2022'!A$2:C1240,3),0)</f>
        <v>0</v>
      </c>
      <c r="D669" s="5">
        <f t="shared" si="2"/>
        <v>0</v>
      </c>
    </row>
    <row r="670" spans="2:4">
      <c r="B670" s="5">
        <f>SUMIF(Pagamenti!E$2:E1240,A670,Pagamenti!D$2:D1240)</f>
        <v>0</v>
      </c>
      <c r="C670" s="17">
        <f>IFERROR(VLOOKUP(A670,'Codici ATECO 2022'!A$2:C1240,3),0)</f>
        <v>0</v>
      </c>
      <c r="D670" s="5">
        <f t="shared" si="2"/>
        <v>0</v>
      </c>
    </row>
    <row r="671" spans="2:4">
      <c r="B671" s="5">
        <f>SUMIF(Pagamenti!E$2:E1240,A671,Pagamenti!D$2:D1240)</f>
        <v>0</v>
      </c>
      <c r="C671" s="17">
        <f>IFERROR(VLOOKUP(A671,'Codici ATECO 2022'!A$2:C1240,3),0)</f>
        <v>0</v>
      </c>
      <c r="D671" s="5">
        <f t="shared" si="2"/>
        <v>0</v>
      </c>
    </row>
    <row r="672" spans="2:4">
      <c r="B672" s="5">
        <f>SUMIF(Pagamenti!E$2:E1240,A672,Pagamenti!D$2:D1240)</f>
        <v>0</v>
      </c>
      <c r="C672" s="17">
        <f>IFERROR(VLOOKUP(A672,'Codici ATECO 2022'!A$2:C1240,3),0)</f>
        <v>0</v>
      </c>
      <c r="D672" s="5">
        <f t="shared" si="2"/>
        <v>0</v>
      </c>
    </row>
    <row r="673" spans="2:4">
      <c r="B673" s="5">
        <f>SUMIF(Pagamenti!E$2:E1240,A673,Pagamenti!D$2:D1240)</f>
        <v>0</v>
      </c>
      <c r="C673" s="17">
        <f>IFERROR(VLOOKUP(A673,'Codici ATECO 2022'!A$2:C1240,3),0)</f>
        <v>0</v>
      </c>
      <c r="D673" s="5">
        <f t="shared" si="2"/>
        <v>0</v>
      </c>
    </row>
    <row r="674" spans="2:4">
      <c r="B674" s="5">
        <f>SUMIF(Pagamenti!E$2:E1240,A674,Pagamenti!D$2:D1240)</f>
        <v>0</v>
      </c>
      <c r="C674" s="17">
        <f>IFERROR(VLOOKUP(A674,'Codici ATECO 2022'!A$2:C1240,3),0)</f>
        <v>0</v>
      </c>
      <c r="D674" s="5">
        <f t="shared" si="2"/>
        <v>0</v>
      </c>
    </row>
    <row r="675" spans="2:4">
      <c r="B675" s="5">
        <f>SUMIF(Pagamenti!E$2:E1240,A675,Pagamenti!D$2:D1240)</f>
        <v>0</v>
      </c>
      <c r="C675" s="17">
        <f>IFERROR(VLOOKUP(A675,'Codici ATECO 2022'!A$2:C1240,3),0)</f>
        <v>0</v>
      </c>
      <c r="D675" s="5">
        <f t="shared" si="2"/>
        <v>0</v>
      </c>
    </row>
    <row r="676" spans="2:4">
      <c r="B676" s="5">
        <f>SUMIF(Pagamenti!E$2:E1240,A676,Pagamenti!D$2:D1240)</f>
        <v>0</v>
      </c>
      <c r="C676" s="17">
        <f>IFERROR(VLOOKUP(A676,'Codici ATECO 2022'!A$2:C1240,3),0)</f>
        <v>0</v>
      </c>
      <c r="D676" s="5">
        <f t="shared" si="2"/>
        <v>0</v>
      </c>
    </row>
    <row r="677" spans="2:4">
      <c r="B677" s="5">
        <f>SUMIF(Pagamenti!E$2:E1240,A677,Pagamenti!D$2:D1240)</f>
        <v>0</v>
      </c>
      <c r="C677" s="17">
        <f>IFERROR(VLOOKUP(A677,'Codici ATECO 2022'!A$2:C1240,3),0)</f>
        <v>0</v>
      </c>
      <c r="D677" s="5">
        <f t="shared" si="2"/>
        <v>0</v>
      </c>
    </row>
    <row r="678" spans="2:4">
      <c r="B678" s="5">
        <f>SUMIF(Pagamenti!E$2:E1240,A678,Pagamenti!D$2:D1240)</f>
        <v>0</v>
      </c>
      <c r="C678" s="17">
        <f>IFERROR(VLOOKUP(A678,'Codici ATECO 2022'!A$2:C1240,3),0)</f>
        <v>0</v>
      </c>
      <c r="D678" s="5">
        <f t="shared" si="2"/>
        <v>0</v>
      </c>
    </row>
    <row r="679" spans="2:4">
      <c r="B679" s="5">
        <f>SUMIF(Pagamenti!E$2:E1240,A679,Pagamenti!D$2:D1240)</f>
        <v>0</v>
      </c>
      <c r="C679" s="17">
        <f>IFERROR(VLOOKUP(A679,'Codici ATECO 2022'!A$2:C1240,3),0)</f>
        <v>0</v>
      </c>
      <c r="D679" s="5">
        <f t="shared" si="2"/>
        <v>0</v>
      </c>
    </row>
    <row r="680" spans="2:4">
      <c r="B680" s="5">
        <f>SUMIF(Pagamenti!E$2:E1240,A680,Pagamenti!D$2:D1240)</f>
        <v>0</v>
      </c>
      <c r="C680" s="17">
        <f>IFERROR(VLOOKUP(A680,'Codici ATECO 2022'!A$2:C1240,3),0)</f>
        <v>0</v>
      </c>
      <c r="D680" s="5">
        <f t="shared" si="2"/>
        <v>0</v>
      </c>
    </row>
    <row r="681" spans="2:4">
      <c r="B681" s="5">
        <f>SUMIF(Pagamenti!E$2:E1240,A681,Pagamenti!D$2:D1240)</f>
        <v>0</v>
      </c>
      <c r="C681" s="17">
        <f>IFERROR(VLOOKUP(A681,'Codici ATECO 2022'!A$2:C1240,3),0)</f>
        <v>0</v>
      </c>
      <c r="D681" s="5">
        <f t="shared" si="2"/>
        <v>0</v>
      </c>
    </row>
    <row r="682" spans="2:4">
      <c r="B682" s="5">
        <f>SUMIF(Pagamenti!E$2:E1240,A682,Pagamenti!D$2:D1240)</f>
        <v>0</v>
      </c>
      <c r="C682" s="17">
        <f>IFERROR(VLOOKUP(A682,'Codici ATECO 2022'!A$2:C1240,3),0)</f>
        <v>0</v>
      </c>
      <c r="D682" s="5">
        <f t="shared" si="2"/>
        <v>0</v>
      </c>
    </row>
    <row r="683" spans="2:4">
      <c r="B683" s="5">
        <f>SUMIF(Pagamenti!E$2:E1240,A683,Pagamenti!D$2:D1240)</f>
        <v>0</v>
      </c>
      <c r="C683" s="17">
        <f>IFERROR(VLOOKUP(A683,'Codici ATECO 2022'!A$2:C1240,3),0)</f>
        <v>0</v>
      </c>
      <c r="D683" s="5">
        <f t="shared" si="2"/>
        <v>0</v>
      </c>
    </row>
    <row r="684" spans="2:4">
      <c r="B684" s="5">
        <f>SUMIF(Pagamenti!E$2:E1240,A684,Pagamenti!D$2:D1240)</f>
        <v>0</v>
      </c>
      <c r="C684" s="17">
        <f>IFERROR(VLOOKUP(A684,'Codici ATECO 2022'!A$2:C1240,3),0)</f>
        <v>0</v>
      </c>
      <c r="D684" s="5">
        <f t="shared" si="2"/>
        <v>0</v>
      </c>
    </row>
    <row r="685" spans="2:4">
      <c r="B685" s="5">
        <f>SUMIF(Pagamenti!E$2:E1240,A685,Pagamenti!D$2:D1240)</f>
        <v>0</v>
      </c>
      <c r="C685" s="17">
        <f>IFERROR(VLOOKUP(A685,'Codici ATECO 2022'!A$2:C1240,3),0)</f>
        <v>0</v>
      </c>
      <c r="D685" s="5">
        <f t="shared" si="2"/>
        <v>0</v>
      </c>
    </row>
    <row r="686" spans="2:4">
      <c r="B686" s="5">
        <f>SUMIF(Pagamenti!E$2:E1240,A686,Pagamenti!D$2:D1240)</f>
        <v>0</v>
      </c>
      <c r="C686" s="17">
        <f>IFERROR(VLOOKUP(A686,'Codici ATECO 2022'!A$2:C1240,3),0)</f>
        <v>0</v>
      </c>
      <c r="D686" s="5">
        <f t="shared" si="2"/>
        <v>0</v>
      </c>
    </row>
    <row r="687" spans="2:4">
      <c r="B687" s="5">
        <f>SUMIF(Pagamenti!E$2:E1240,A687,Pagamenti!D$2:D1240)</f>
        <v>0</v>
      </c>
      <c r="C687" s="17">
        <f>IFERROR(VLOOKUP(A687,'Codici ATECO 2022'!A$2:C1240,3),0)</f>
        <v>0</v>
      </c>
      <c r="D687" s="5">
        <f t="shared" si="2"/>
        <v>0</v>
      </c>
    </row>
    <row r="688" spans="2:4">
      <c r="B688" s="5">
        <f>SUMIF(Pagamenti!E$2:E1240,A688,Pagamenti!D$2:D1240)</f>
        <v>0</v>
      </c>
      <c r="C688" s="17">
        <f>IFERROR(VLOOKUP(A688,'Codici ATECO 2022'!A$2:C1240,3),0)</f>
        <v>0</v>
      </c>
      <c r="D688" s="5">
        <f t="shared" si="2"/>
        <v>0</v>
      </c>
    </row>
    <row r="689" spans="2:4">
      <c r="B689" s="5">
        <f>SUMIF(Pagamenti!E$2:E1240,A689,Pagamenti!D$2:D1240)</f>
        <v>0</v>
      </c>
      <c r="C689" s="17">
        <f>IFERROR(VLOOKUP(A689,'Codici ATECO 2022'!A$2:C1240,3),0)</f>
        <v>0</v>
      </c>
      <c r="D689" s="5">
        <f t="shared" si="2"/>
        <v>0</v>
      </c>
    </row>
    <row r="690" spans="2:4">
      <c r="B690" s="5">
        <f>SUMIF(Pagamenti!E$2:E1240,A690,Pagamenti!D$2:D1240)</f>
        <v>0</v>
      </c>
      <c r="C690" s="17">
        <f>IFERROR(VLOOKUP(A690,'Codici ATECO 2022'!A$2:C1240,3),0)</f>
        <v>0</v>
      </c>
      <c r="D690" s="5">
        <f t="shared" si="2"/>
        <v>0</v>
      </c>
    </row>
    <row r="691" spans="2:4">
      <c r="B691" s="5">
        <f>SUMIF(Pagamenti!E$2:E1240,A691,Pagamenti!D$2:D1240)</f>
        <v>0</v>
      </c>
      <c r="C691" s="17">
        <f>IFERROR(VLOOKUP(A691,'Codici ATECO 2022'!A$2:C1240,3),0)</f>
        <v>0</v>
      </c>
      <c r="D691" s="5">
        <f t="shared" si="2"/>
        <v>0</v>
      </c>
    </row>
    <row r="692" spans="2:4">
      <c r="B692" s="5">
        <f>SUMIF(Pagamenti!E$2:E1240,A692,Pagamenti!D$2:D1240)</f>
        <v>0</v>
      </c>
      <c r="C692" s="17">
        <f>IFERROR(VLOOKUP(A692,'Codici ATECO 2022'!A$2:C1240,3),0)</f>
        <v>0</v>
      </c>
      <c r="D692" s="5">
        <f t="shared" si="2"/>
        <v>0</v>
      </c>
    </row>
    <row r="693" spans="2:4">
      <c r="B693" s="5">
        <f>SUMIF(Pagamenti!E$2:E1240,A693,Pagamenti!D$2:D1240)</f>
        <v>0</v>
      </c>
      <c r="C693" s="17">
        <f>IFERROR(VLOOKUP(A693,'Codici ATECO 2022'!A$2:C1240,3),0)</f>
        <v>0</v>
      </c>
      <c r="D693" s="5">
        <f t="shared" si="2"/>
        <v>0</v>
      </c>
    </row>
    <row r="694" spans="2:4">
      <c r="B694" s="5">
        <f>SUMIF(Pagamenti!E$2:E1240,A694,Pagamenti!D$2:D1240)</f>
        <v>0</v>
      </c>
      <c r="C694" s="17">
        <f>IFERROR(VLOOKUP(A694,'Codici ATECO 2022'!A$2:C1240,3),0)</f>
        <v>0</v>
      </c>
      <c r="D694" s="5">
        <f t="shared" si="2"/>
        <v>0</v>
      </c>
    </row>
    <row r="695" spans="2:4">
      <c r="B695" s="5">
        <f>SUMIF(Pagamenti!E$2:E1240,A695,Pagamenti!D$2:D1240)</f>
        <v>0</v>
      </c>
      <c r="C695" s="17">
        <f>IFERROR(VLOOKUP(A695,'Codici ATECO 2022'!A$2:C1240,3),0)</f>
        <v>0</v>
      </c>
      <c r="D695" s="5">
        <f t="shared" si="2"/>
        <v>0</v>
      </c>
    </row>
    <row r="696" spans="2:4">
      <c r="B696" s="5">
        <f>SUMIF(Pagamenti!E$2:E1240,A696,Pagamenti!D$2:D1240)</f>
        <v>0</v>
      </c>
      <c r="C696" s="17">
        <f>IFERROR(VLOOKUP(A696,'Codici ATECO 2022'!A$2:C1240,3),0)</f>
        <v>0</v>
      </c>
      <c r="D696" s="5">
        <f t="shared" si="2"/>
        <v>0</v>
      </c>
    </row>
    <row r="697" spans="2:4">
      <c r="B697" s="5">
        <f>SUMIF(Pagamenti!E$2:E1240,A697,Pagamenti!D$2:D1240)</f>
        <v>0</v>
      </c>
      <c r="C697" s="17">
        <f>IFERROR(VLOOKUP(A697,'Codici ATECO 2022'!A$2:C1240,3),0)</f>
        <v>0</v>
      </c>
      <c r="D697" s="5">
        <f t="shared" si="2"/>
        <v>0</v>
      </c>
    </row>
    <row r="698" spans="2:4">
      <c r="B698" s="5">
        <f>SUMIF(Pagamenti!E$2:E1240,A698,Pagamenti!D$2:D1240)</f>
        <v>0</v>
      </c>
      <c r="C698" s="17">
        <f>IFERROR(VLOOKUP(A698,'Codici ATECO 2022'!A$2:C1240,3),0)</f>
        <v>0</v>
      </c>
      <c r="D698" s="5">
        <f t="shared" si="2"/>
        <v>0</v>
      </c>
    </row>
    <row r="699" spans="2:4">
      <c r="B699" s="5">
        <f>SUMIF(Pagamenti!E$2:E1240,A699,Pagamenti!D$2:D1240)</f>
        <v>0</v>
      </c>
      <c r="C699" s="17">
        <f>IFERROR(VLOOKUP(A699,'Codici ATECO 2022'!A$2:C1240,3),0)</f>
        <v>0</v>
      </c>
      <c r="D699" s="5">
        <f t="shared" si="2"/>
        <v>0</v>
      </c>
    </row>
    <row r="700" spans="2:4">
      <c r="B700" s="5">
        <f>SUMIF(Pagamenti!E$2:E1240,A700,Pagamenti!D$2:D1240)</f>
        <v>0</v>
      </c>
      <c r="C700" s="17">
        <f>IFERROR(VLOOKUP(A700,'Codici ATECO 2022'!A$2:C1240,3),0)</f>
        <v>0</v>
      </c>
      <c r="D700" s="5">
        <f t="shared" si="2"/>
        <v>0</v>
      </c>
    </row>
    <row r="701" spans="2:4">
      <c r="B701" s="5">
        <f>SUMIF(Pagamenti!E$2:E1240,A701,Pagamenti!D$2:D1240)</f>
        <v>0</v>
      </c>
      <c r="C701" s="17">
        <f>IFERROR(VLOOKUP(A701,'Codici ATECO 2022'!A$2:C1240,3),0)</f>
        <v>0</v>
      </c>
      <c r="D701" s="5">
        <f t="shared" si="2"/>
        <v>0</v>
      </c>
    </row>
    <row r="702" spans="2:4">
      <c r="B702" s="5">
        <f>SUMIF(Pagamenti!E$2:E1240,A702,Pagamenti!D$2:D1240)</f>
        <v>0</v>
      </c>
      <c r="C702" s="17">
        <f>IFERROR(VLOOKUP(A702,'Codici ATECO 2022'!A$2:C1240,3),0)</f>
        <v>0</v>
      </c>
      <c r="D702" s="5">
        <f t="shared" si="2"/>
        <v>0</v>
      </c>
    </row>
    <row r="703" spans="2:4">
      <c r="B703" s="5">
        <f>SUMIF(Pagamenti!E$2:E1240,A703,Pagamenti!D$2:D1240)</f>
        <v>0</v>
      </c>
      <c r="C703" s="17">
        <f>IFERROR(VLOOKUP(A703,'Codici ATECO 2022'!A$2:C1240,3),0)</f>
        <v>0</v>
      </c>
      <c r="D703" s="5">
        <f t="shared" si="2"/>
        <v>0</v>
      </c>
    </row>
    <row r="704" spans="2:4">
      <c r="B704" s="5">
        <f>SUMIF(Pagamenti!E$2:E1240,A704,Pagamenti!D$2:D1240)</f>
        <v>0</v>
      </c>
      <c r="C704" s="17">
        <f>IFERROR(VLOOKUP(A704,'Codici ATECO 2022'!A$2:C1240,3),0)</f>
        <v>0</v>
      </c>
      <c r="D704" s="5">
        <f t="shared" si="2"/>
        <v>0</v>
      </c>
    </row>
    <row r="705" spans="2:4">
      <c r="B705" s="5">
        <f>SUMIF(Pagamenti!E$2:E1240,A705,Pagamenti!D$2:D1240)</f>
        <v>0</v>
      </c>
      <c r="C705" s="17">
        <f>IFERROR(VLOOKUP(A705,'Codici ATECO 2022'!A$2:C1240,3),0)</f>
        <v>0</v>
      </c>
      <c r="D705" s="5">
        <f t="shared" si="2"/>
        <v>0</v>
      </c>
    </row>
    <row r="706" spans="2:4">
      <c r="B706" s="5">
        <f>SUMIF(Pagamenti!E$2:E1240,A706,Pagamenti!D$2:D1240)</f>
        <v>0</v>
      </c>
      <c r="C706" s="17">
        <f>IFERROR(VLOOKUP(A706,'Codici ATECO 2022'!A$2:C1240,3),0)</f>
        <v>0</v>
      </c>
      <c r="D706" s="5">
        <f t="shared" si="2"/>
        <v>0</v>
      </c>
    </row>
    <row r="707" spans="2:4">
      <c r="B707" s="5">
        <f>SUMIF(Pagamenti!E$2:E1240,A707,Pagamenti!D$2:D1240)</f>
        <v>0</v>
      </c>
      <c r="C707" s="17">
        <f>IFERROR(VLOOKUP(A707,'Codici ATECO 2022'!A$2:C1240,3),0)</f>
        <v>0</v>
      </c>
      <c r="D707" s="5">
        <f t="shared" si="2"/>
        <v>0</v>
      </c>
    </row>
    <row r="708" spans="2:4">
      <c r="B708" s="5">
        <f>SUMIF(Pagamenti!E$2:E1240,A708,Pagamenti!D$2:D1240)</f>
        <v>0</v>
      </c>
      <c r="C708" s="17">
        <f>IFERROR(VLOOKUP(A708,'Codici ATECO 2022'!A$2:C1240,3),0)</f>
        <v>0</v>
      </c>
      <c r="D708" s="5">
        <f t="shared" si="2"/>
        <v>0</v>
      </c>
    </row>
    <row r="709" spans="2:4">
      <c r="B709" s="5">
        <f>SUMIF(Pagamenti!E$2:E1240,A709,Pagamenti!D$2:D1240)</f>
        <v>0</v>
      </c>
      <c r="C709" s="17">
        <f>IFERROR(VLOOKUP(A709,'Codici ATECO 2022'!A$2:C1240,3),0)</f>
        <v>0</v>
      </c>
      <c r="D709" s="5">
        <f t="shared" si="2"/>
        <v>0</v>
      </c>
    </row>
    <row r="710" spans="2:4">
      <c r="B710" s="5">
        <f>SUMIF(Pagamenti!E$2:E1240,A710,Pagamenti!D$2:D1240)</f>
        <v>0</v>
      </c>
      <c r="C710" s="17">
        <f>IFERROR(VLOOKUP(A710,'Codici ATECO 2022'!A$2:C1240,3),0)</f>
        <v>0</v>
      </c>
      <c r="D710" s="5">
        <f t="shared" si="2"/>
        <v>0</v>
      </c>
    </row>
    <row r="711" spans="2:4">
      <c r="B711" s="5">
        <f>SUMIF(Pagamenti!E$2:E1240,A711,Pagamenti!D$2:D1240)</f>
        <v>0</v>
      </c>
      <c r="C711" s="17">
        <f>IFERROR(VLOOKUP(A711,'Codici ATECO 2022'!A$2:C1240,3),0)</f>
        <v>0</v>
      </c>
      <c r="D711" s="5">
        <f t="shared" si="2"/>
        <v>0</v>
      </c>
    </row>
    <row r="712" spans="2:4">
      <c r="B712" s="5">
        <f>SUMIF(Pagamenti!E$2:E1240,A712,Pagamenti!D$2:D1240)</f>
        <v>0</v>
      </c>
      <c r="C712" s="17">
        <f>IFERROR(VLOOKUP(A712,'Codici ATECO 2022'!A$2:C1240,3),0)</f>
        <v>0</v>
      </c>
      <c r="D712" s="5">
        <f t="shared" si="2"/>
        <v>0</v>
      </c>
    </row>
    <row r="713" spans="2:4">
      <c r="B713" s="5">
        <f>SUMIF(Pagamenti!E$2:E1240,A713,Pagamenti!D$2:D1240)</f>
        <v>0</v>
      </c>
      <c r="C713" s="17">
        <f>IFERROR(VLOOKUP(A713,'Codici ATECO 2022'!A$2:C1240,3),0)</f>
        <v>0</v>
      </c>
      <c r="D713" s="5">
        <f t="shared" si="2"/>
        <v>0</v>
      </c>
    </row>
    <row r="714" spans="2:4">
      <c r="B714" s="5">
        <f>SUMIF(Pagamenti!E$2:E1240,A714,Pagamenti!D$2:D1240)</f>
        <v>0</v>
      </c>
      <c r="C714" s="17">
        <f>IFERROR(VLOOKUP(A714,'Codici ATECO 2022'!A$2:C1240,3),0)</f>
        <v>0</v>
      </c>
      <c r="D714" s="5">
        <f t="shared" si="2"/>
        <v>0</v>
      </c>
    </row>
    <row r="715" spans="2:4">
      <c r="B715" s="5">
        <f>SUMIF(Pagamenti!E$2:E1240,A715,Pagamenti!D$2:D1240)</f>
        <v>0</v>
      </c>
      <c r="C715" s="17">
        <f>IFERROR(VLOOKUP(A715,'Codici ATECO 2022'!A$2:C1240,3),0)</f>
        <v>0</v>
      </c>
      <c r="D715" s="5">
        <f t="shared" si="2"/>
        <v>0</v>
      </c>
    </row>
    <row r="716" spans="2:4">
      <c r="B716" s="5">
        <f>SUMIF(Pagamenti!E$2:E1240,A716,Pagamenti!D$2:D1240)</f>
        <v>0</v>
      </c>
      <c r="C716" s="17">
        <f>IFERROR(VLOOKUP(A716,'Codici ATECO 2022'!A$2:C1240,3),0)</f>
        <v>0</v>
      </c>
      <c r="D716" s="5">
        <f t="shared" si="2"/>
        <v>0</v>
      </c>
    </row>
    <row r="717" spans="2:4">
      <c r="B717" s="5">
        <f>SUMIF(Pagamenti!E$2:E1240,A717,Pagamenti!D$2:D1240)</f>
        <v>0</v>
      </c>
      <c r="C717" s="17">
        <f>IFERROR(VLOOKUP(A717,'Codici ATECO 2022'!A$2:C1240,3),0)</f>
        <v>0</v>
      </c>
      <c r="D717" s="5">
        <f t="shared" si="2"/>
        <v>0</v>
      </c>
    </row>
    <row r="718" spans="2:4">
      <c r="B718" s="5">
        <f>SUMIF(Pagamenti!E$2:E1240,A718,Pagamenti!D$2:D1240)</f>
        <v>0</v>
      </c>
      <c r="C718" s="17">
        <f>IFERROR(VLOOKUP(A718,'Codici ATECO 2022'!A$2:C1240,3),0)</f>
        <v>0</v>
      </c>
      <c r="D718" s="5">
        <f t="shared" si="2"/>
        <v>0</v>
      </c>
    </row>
    <row r="719" spans="2:4">
      <c r="B719" s="5">
        <f>SUMIF(Pagamenti!E$2:E1240,A719,Pagamenti!D$2:D1240)</f>
        <v>0</v>
      </c>
      <c r="C719" s="17">
        <f>IFERROR(VLOOKUP(A719,'Codici ATECO 2022'!A$2:C1240,3),0)</f>
        <v>0</v>
      </c>
      <c r="D719" s="5">
        <f t="shared" si="2"/>
        <v>0</v>
      </c>
    </row>
    <row r="720" spans="2:4">
      <c r="B720" s="5">
        <f>SUMIF(Pagamenti!E$2:E1240,A720,Pagamenti!D$2:D1240)</f>
        <v>0</v>
      </c>
      <c r="C720" s="17">
        <f>IFERROR(VLOOKUP(A720,'Codici ATECO 2022'!A$2:C1240,3),0)</f>
        <v>0</v>
      </c>
      <c r="D720" s="5">
        <f t="shared" si="2"/>
        <v>0</v>
      </c>
    </row>
    <row r="721" spans="2:4">
      <c r="B721" s="5">
        <f>SUMIF(Pagamenti!E$2:E1240,A721,Pagamenti!D$2:D1240)</f>
        <v>0</v>
      </c>
      <c r="C721" s="17">
        <f>IFERROR(VLOOKUP(A721,'Codici ATECO 2022'!A$2:C1240,3),0)</f>
        <v>0</v>
      </c>
      <c r="D721" s="5">
        <f t="shared" si="2"/>
        <v>0</v>
      </c>
    </row>
    <row r="722" spans="2:4">
      <c r="B722" s="5">
        <f>SUMIF(Pagamenti!E$2:E1240,A722,Pagamenti!D$2:D1240)</f>
        <v>0</v>
      </c>
      <c r="C722" s="17">
        <f>IFERROR(VLOOKUP(A722,'Codici ATECO 2022'!A$2:C1240,3),0)</f>
        <v>0</v>
      </c>
      <c r="D722" s="5">
        <f t="shared" si="2"/>
        <v>0</v>
      </c>
    </row>
    <row r="723" spans="2:4">
      <c r="B723" s="5">
        <f>SUMIF(Pagamenti!E$2:E1240,A723,Pagamenti!D$2:D1240)</f>
        <v>0</v>
      </c>
      <c r="C723" s="17">
        <f>IFERROR(VLOOKUP(A723,'Codici ATECO 2022'!A$2:C1240,3),0)</f>
        <v>0</v>
      </c>
      <c r="D723" s="5">
        <f t="shared" si="2"/>
        <v>0</v>
      </c>
    </row>
    <row r="724" spans="2:4">
      <c r="B724" s="5">
        <f>SUMIF(Pagamenti!E$2:E1240,A724,Pagamenti!D$2:D1240)</f>
        <v>0</v>
      </c>
      <c r="C724" s="17">
        <f>IFERROR(VLOOKUP(A724,'Codici ATECO 2022'!A$2:C1240,3),0)</f>
        <v>0</v>
      </c>
      <c r="D724" s="5">
        <f t="shared" si="2"/>
        <v>0</v>
      </c>
    </row>
    <row r="725" spans="2:4">
      <c r="B725" s="5">
        <f>SUMIF(Pagamenti!E$2:E1240,A725,Pagamenti!D$2:D1240)</f>
        <v>0</v>
      </c>
      <c r="C725" s="17">
        <f>IFERROR(VLOOKUP(A725,'Codici ATECO 2022'!A$2:C1240,3),0)</f>
        <v>0</v>
      </c>
      <c r="D725" s="5">
        <f t="shared" si="2"/>
        <v>0</v>
      </c>
    </row>
    <row r="726" spans="2:4">
      <c r="B726" s="5">
        <f>SUMIF(Pagamenti!E$2:E1240,A726,Pagamenti!D$2:D1240)</f>
        <v>0</v>
      </c>
      <c r="C726" s="17">
        <f>IFERROR(VLOOKUP(A726,'Codici ATECO 2022'!A$2:C1240,3),0)</f>
        <v>0</v>
      </c>
      <c r="D726" s="5">
        <f t="shared" si="2"/>
        <v>0</v>
      </c>
    </row>
    <row r="727" spans="2:4">
      <c r="B727" s="5">
        <f>SUMIF(Pagamenti!E$2:E1240,A727,Pagamenti!D$2:D1240)</f>
        <v>0</v>
      </c>
      <c r="C727" s="17">
        <f>IFERROR(VLOOKUP(A727,'Codici ATECO 2022'!A$2:C1240,3),0)</f>
        <v>0</v>
      </c>
      <c r="D727" s="5">
        <f t="shared" si="2"/>
        <v>0</v>
      </c>
    </row>
    <row r="728" spans="2:4">
      <c r="B728" s="5">
        <f>SUMIF(Pagamenti!E$2:E1240,A728,Pagamenti!D$2:D1240)</f>
        <v>0</v>
      </c>
      <c r="C728" s="17">
        <f>IFERROR(VLOOKUP(A728,'Codici ATECO 2022'!A$2:C1240,3),0)</f>
        <v>0</v>
      </c>
      <c r="D728" s="5">
        <f t="shared" si="2"/>
        <v>0</v>
      </c>
    </row>
    <row r="729" spans="2:4">
      <c r="B729" s="5">
        <f>SUMIF(Pagamenti!E$2:E1240,A729,Pagamenti!D$2:D1240)</f>
        <v>0</v>
      </c>
      <c r="C729" s="17">
        <f>IFERROR(VLOOKUP(A729,'Codici ATECO 2022'!A$2:C1240,3),0)</f>
        <v>0</v>
      </c>
      <c r="D729" s="5">
        <f t="shared" si="2"/>
        <v>0</v>
      </c>
    </row>
    <row r="730" spans="2:4">
      <c r="B730" s="5">
        <f>SUMIF(Pagamenti!E$2:E1240,A730,Pagamenti!D$2:D1240)</f>
        <v>0</v>
      </c>
      <c r="C730" s="17">
        <f>IFERROR(VLOOKUP(A730,'Codici ATECO 2022'!A$2:C1240,3),0)</f>
        <v>0</v>
      </c>
      <c r="D730" s="5">
        <f t="shared" si="2"/>
        <v>0</v>
      </c>
    </row>
    <row r="731" spans="2:4">
      <c r="B731" s="5">
        <f>SUMIF(Pagamenti!E$2:E1240,A731,Pagamenti!D$2:D1240)</f>
        <v>0</v>
      </c>
      <c r="C731" s="17">
        <f>IFERROR(VLOOKUP(A731,'Codici ATECO 2022'!A$2:C1240,3),0)</f>
        <v>0</v>
      </c>
      <c r="D731" s="5">
        <f t="shared" si="2"/>
        <v>0</v>
      </c>
    </row>
    <row r="732" spans="2:4">
      <c r="B732" s="5">
        <f>SUMIF(Pagamenti!E$2:E1240,A732,Pagamenti!D$2:D1240)</f>
        <v>0</v>
      </c>
      <c r="C732" s="17">
        <f>IFERROR(VLOOKUP(A732,'Codici ATECO 2022'!A$2:C1240,3),0)</f>
        <v>0</v>
      </c>
      <c r="D732" s="5">
        <f t="shared" si="2"/>
        <v>0</v>
      </c>
    </row>
    <row r="733" spans="2:4">
      <c r="B733" s="5">
        <f>SUMIF(Pagamenti!E$2:E1240,A733,Pagamenti!D$2:D1240)</f>
        <v>0</v>
      </c>
      <c r="C733" s="17">
        <f>IFERROR(VLOOKUP(A733,'Codici ATECO 2022'!A$2:C1240,3),0)</f>
        <v>0</v>
      </c>
      <c r="D733" s="5">
        <f t="shared" si="2"/>
        <v>0</v>
      </c>
    </row>
    <row r="734" spans="2:4">
      <c r="B734" s="5">
        <f>SUMIF(Pagamenti!E$2:E1240,A734,Pagamenti!D$2:D1240)</f>
        <v>0</v>
      </c>
      <c r="C734" s="17">
        <f>IFERROR(VLOOKUP(A734,'Codici ATECO 2022'!A$2:C1240,3),0)</f>
        <v>0</v>
      </c>
      <c r="D734" s="5">
        <f t="shared" si="2"/>
        <v>0</v>
      </c>
    </row>
    <row r="735" spans="2:4">
      <c r="B735" s="5">
        <f>SUMIF(Pagamenti!E$2:E1240,A735,Pagamenti!D$2:D1240)</f>
        <v>0</v>
      </c>
      <c r="C735" s="17">
        <f>IFERROR(VLOOKUP(A735,'Codici ATECO 2022'!A$2:C1240,3),0)</f>
        <v>0</v>
      </c>
      <c r="D735" s="5">
        <f t="shared" si="2"/>
        <v>0</v>
      </c>
    </row>
    <row r="736" spans="2:4">
      <c r="B736" s="5">
        <f>SUMIF(Pagamenti!E$2:E1240,A736,Pagamenti!D$2:D1240)</f>
        <v>0</v>
      </c>
      <c r="C736" s="17">
        <f>IFERROR(VLOOKUP(A736,'Codici ATECO 2022'!A$2:C1240,3),0)</f>
        <v>0</v>
      </c>
      <c r="D736" s="5">
        <f t="shared" si="2"/>
        <v>0</v>
      </c>
    </row>
    <row r="737" spans="2:4">
      <c r="B737" s="5">
        <f>SUMIF(Pagamenti!E$2:E1240,A737,Pagamenti!D$2:D1240)</f>
        <v>0</v>
      </c>
      <c r="C737" s="17">
        <f>IFERROR(VLOOKUP(A737,'Codici ATECO 2022'!A$2:C1240,3),0)</f>
        <v>0</v>
      </c>
      <c r="D737" s="5">
        <f t="shared" si="2"/>
        <v>0</v>
      </c>
    </row>
    <row r="738" spans="2:4">
      <c r="B738" s="5">
        <f>SUMIF(Pagamenti!E$2:E1240,A738,Pagamenti!D$2:D1240)</f>
        <v>0</v>
      </c>
      <c r="C738" s="17">
        <f>IFERROR(VLOOKUP(A738,'Codici ATECO 2022'!A$2:C1240,3),0)</f>
        <v>0</v>
      </c>
      <c r="D738" s="5">
        <f t="shared" si="2"/>
        <v>0</v>
      </c>
    </row>
    <row r="739" spans="2:4">
      <c r="B739" s="5">
        <f>SUMIF(Pagamenti!E$2:E1240,A739,Pagamenti!D$2:D1240)</f>
        <v>0</v>
      </c>
      <c r="C739" s="17">
        <f>IFERROR(VLOOKUP(A739,'Codici ATECO 2022'!A$2:C1240,3),0)</f>
        <v>0</v>
      </c>
      <c r="D739" s="5">
        <f t="shared" si="2"/>
        <v>0</v>
      </c>
    </row>
    <row r="740" spans="2:4">
      <c r="B740" s="5">
        <f>SUMIF(Pagamenti!E$2:E1240,A740,Pagamenti!D$2:D1240)</f>
        <v>0</v>
      </c>
      <c r="C740" s="17">
        <f>IFERROR(VLOOKUP(A740,'Codici ATECO 2022'!A$2:C1240,3),0)</f>
        <v>0</v>
      </c>
      <c r="D740" s="5">
        <f t="shared" si="2"/>
        <v>0</v>
      </c>
    </row>
    <row r="741" spans="2:4">
      <c r="B741" s="5">
        <f>SUMIF(Pagamenti!E$2:E1240,A741,Pagamenti!D$2:D1240)</f>
        <v>0</v>
      </c>
      <c r="C741" s="17">
        <f>IFERROR(VLOOKUP(A741,'Codici ATECO 2022'!A$2:C1240,3),0)</f>
        <v>0</v>
      </c>
      <c r="D741" s="5">
        <f t="shared" si="2"/>
        <v>0</v>
      </c>
    </row>
    <row r="742" spans="2:4">
      <c r="B742" s="5">
        <f>SUMIF(Pagamenti!E$2:E1240,A742,Pagamenti!D$2:D1240)</f>
        <v>0</v>
      </c>
      <c r="C742" s="17">
        <f>IFERROR(VLOOKUP(A742,'Codici ATECO 2022'!A$2:C1240,3),0)</f>
        <v>0</v>
      </c>
      <c r="D742" s="5">
        <f t="shared" si="2"/>
        <v>0</v>
      </c>
    </row>
    <row r="743" spans="2:4">
      <c r="B743" s="5">
        <f>SUMIF(Pagamenti!E$2:E1240,A743,Pagamenti!D$2:D1240)</f>
        <v>0</v>
      </c>
      <c r="C743" s="17">
        <f>IFERROR(VLOOKUP(A743,'Codici ATECO 2022'!A$2:C1240,3),0)</f>
        <v>0</v>
      </c>
      <c r="D743" s="5">
        <f t="shared" si="2"/>
        <v>0</v>
      </c>
    </row>
    <row r="744" spans="2:4">
      <c r="B744" s="5">
        <f>SUMIF(Pagamenti!E$2:E1240,A744,Pagamenti!D$2:D1240)</f>
        <v>0</v>
      </c>
      <c r="C744" s="17">
        <f>IFERROR(VLOOKUP(A744,'Codici ATECO 2022'!A$2:C1240,3),0)</f>
        <v>0</v>
      </c>
      <c r="D744" s="5">
        <f t="shared" si="2"/>
        <v>0</v>
      </c>
    </row>
    <row r="745" spans="2:4">
      <c r="B745" s="5">
        <f>SUMIF(Pagamenti!E$2:E1240,A745,Pagamenti!D$2:D1240)</f>
        <v>0</v>
      </c>
      <c r="C745" s="17">
        <f>IFERROR(VLOOKUP(A745,'Codici ATECO 2022'!A$2:C1240,3),0)</f>
        <v>0</v>
      </c>
      <c r="D745" s="5">
        <f t="shared" si="2"/>
        <v>0</v>
      </c>
    </row>
    <row r="746" spans="2:4">
      <c r="B746" s="5">
        <f>SUMIF(Pagamenti!E$2:E1240,A746,Pagamenti!D$2:D1240)</f>
        <v>0</v>
      </c>
      <c r="C746" s="17">
        <f>IFERROR(VLOOKUP(A746,'Codici ATECO 2022'!A$2:C1240,3),0)</f>
        <v>0</v>
      </c>
      <c r="D746" s="5">
        <f t="shared" si="2"/>
        <v>0</v>
      </c>
    </row>
    <row r="747" spans="2:4">
      <c r="B747" s="5">
        <f>SUMIF(Pagamenti!E$2:E1240,A747,Pagamenti!D$2:D1240)</f>
        <v>0</v>
      </c>
      <c r="C747" s="17">
        <f>IFERROR(VLOOKUP(A747,'Codici ATECO 2022'!A$2:C1240,3),0)</f>
        <v>0</v>
      </c>
      <c r="D747" s="5">
        <f t="shared" si="2"/>
        <v>0</v>
      </c>
    </row>
    <row r="748" spans="2:4">
      <c r="B748" s="5">
        <f>SUMIF(Pagamenti!E$2:E1240,A748,Pagamenti!D$2:D1240)</f>
        <v>0</v>
      </c>
      <c r="C748" s="17">
        <f>IFERROR(VLOOKUP(A748,'Codici ATECO 2022'!A$2:C1240,3),0)</f>
        <v>0</v>
      </c>
      <c r="D748" s="5">
        <f t="shared" si="2"/>
        <v>0</v>
      </c>
    </row>
    <row r="749" spans="2:4">
      <c r="B749" s="5">
        <f>SUMIF(Pagamenti!E$2:E1240,A749,Pagamenti!D$2:D1240)</f>
        <v>0</v>
      </c>
      <c r="C749" s="17">
        <f>IFERROR(VLOOKUP(A749,'Codici ATECO 2022'!A$2:C1240,3),0)</f>
        <v>0</v>
      </c>
      <c r="D749" s="5">
        <f t="shared" si="2"/>
        <v>0</v>
      </c>
    </row>
    <row r="750" spans="2:4">
      <c r="B750" s="5">
        <f>SUMIF(Pagamenti!E$2:E1240,A750,Pagamenti!D$2:D1240)</f>
        <v>0</v>
      </c>
      <c r="C750" s="17">
        <f>IFERROR(VLOOKUP(A750,'Codici ATECO 2022'!A$2:C1240,3),0)</f>
        <v>0</v>
      </c>
      <c r="D750" s="5">
        <f t="shared" si="2"/>
        <v>0</v>
      </c>
    </row>
    <row r="751" spans="2:4">
      <c r="B751" s="5">
        <f>SUMIF(Pagamenti!E$2:E1240,A751,Pagamenti!D$2:D1240)</f>
        <v>0</v>
      </c>
      <c r="C751" s="17">
        <f>IFERROR(VLOOKUP(A751,'Codici ATECO 2022'!A$2:C1240,3),0)</f>
        <v>0</v>
      </c>
      <c r="D751" s="5">
        <f t="shared" si="2"/>
        <v>0</v>
      </c>
    </row>
    <row r="752" spans="2:4">
      <c r="B752" s="5">
        <f>SUMIF(Pagamenti!E$2:E1240,A752,Pagamenti!D$2:D1240)</f>
        <v>0</v>
      </c>
      <c r="C752" s="17">
        <f>IFERROR(VLOOKUP(A752,'Codici ATECO 2022'!A$2:C1240,3),0)</f>
        <v>0</v>
      </c>
      <c r="D752" s="5">
        <f t="shared" si="2"/>
        <v>0</v>
      </c>
    </row>
    <row r="753" spans="2:4">
      <c r="B753" s="5">
        <f>SUMIF(Pagamenti!E$2:E1240,A753,Pagamenti!D$2:D1240)</f>
        <v>0</v>
      </c>
      <c r="C753" s="17">
        <f>IFERROR(VLOOKUP(A753,'Codici ATECO 2022'!A$2:C1240,3),0)</f>
        <v>0</v>
      </c>
      <c r="D753" s="5">
        <f t="shared" si="2"/>
        <v>0</v>
      </c>
    </row>
    <row r="754" spans="2:4">
      <c r="B754" s="5">
        <f>SUMIF(Pagamenti!E$2:E1240,A754,Pagamenti!D$2:D1240)</f>
        <v>0</v>
      </c>
      <c r="C754" s="17">
        <f>IFERROR(VLOOKUP(A754,'Codici ATECO 2022'!A$2:C1240,3),0)</f>
        <v>0</v>
      </c>
      <c r="D754" s="5">
        <f t="shared" si="2"/>
        <v>0</v>
      </c>
    </row>
    <row r="755" spans="2:4">
      <c r="B755" s="5">
        <f>SUMIF(Pagamenti!E$2:E1240,A755,Pagamenti!D$2:D1240)</f>
        <v>0</v>
      </c>
      <c r="C755" s="17">
        <f>IFERROR(VLOOKUP(A755,'Codici ATECO 2022'!A$2:C1240,3),0)</f>
        <v>0</v>
      </c>
      <c r="D755" s="5">
        <f t="shared" si="2"/>
        <v>0</v>
      </c>
    </row>
    <row r="756" spans="2:4">
      <c r="B756" s="5">
        <f>SUMIF(Pagamenti!E$2:E1240,A756,Pagamenti!D$2:D1240)</f>
        <v>0</v>
      </c>
      <c r="C756" s="17">
        <f>IFERROR(VLOOKUP(A756,'Codici ATECO 2022'!A$2:C1240,3),0)</f>
        <v>0</v>
      </c>
      <c r="D756" s="5">
        <f t="shared" si="2"/>
        <v>0</v>
      </c>
    </row>
    <row r="757" spans="2:4">
      <c r="B757" s="5">
        <f>SUMIF(Pagamenti!E$2:E1240,A757,Pagamenti!D$2:D1240)</f>
        <v>0</v>
      </c>
      <c r="C757" s="17">
        <f>IFERROR(VLOOKUP(A757,'Codici ATECO 2022'!A$2:C1240,3),0)</f>
        <v>0</v>
      </c>
      <c r="D757" s="5">
        <f t="shared" si="2"/>
        <v>0</v>
      </c>
    </row>
    <row r="758" spans="2:4">
      <c r="B758" s="5">
        <f>SUMIF(Pagamenti!E$2:E1240,A758,Pagamenti!D$2:D1240)</f>
        <v>0</v>
      </c>
      <c r="C758" s="17">
        <f>IFERROR(VLOOKUP(A758,'Codici ATECO 2022'!A$2:C1240,3),0)</f>
        <v>0</v>
      </c>
      <c r="D758" s="5">
        <f t="shared" si="2"/>
        <v>0</v>
      </c>
    </row>
    <row r="759" spans="2:4">
      <c r="B759" s="5">
        <f>SUMIF(Pagamenti!E$2:E1240,A759,Pagamenti!D$2:D1240)</f>
        <v>0</v>
      </c>
      <c r="C759" s="17">
        <f>IFERROR(VLOOKUP(A759,'Codici ATECO 2022'!A$2:C1240,3),0)</f>
        <v>0</v>
      </c>
      <c r="D759" s="5">
        <f t="shared" si="2"/>
        <v>0</v>
      </c>
    </row>
    <row r="760" spans="2:4">
      <c r="B760" s="5">
        <f>SUMIF(Pagamenti!E$2:E1240,A760,Pagamenti!D$2:D1240)</f>
        <v>0</v>
      </c>
      <c r="C760" s="17">
        <f>IFERROR(VLOOKUP(A760,'Codici ATECO 2022'!A$2:C1240,3),0)</f>
        <v>0</v>
      </c>
      <c r="D760" s="5">
        <f t="shared" si="2"/>
        <v>0</v>
      </c>
    </row>
    <row r="761" spans="2:4">
      <c r="B761" s="5">
        <f>SUMIF(Pagamenti!E$2:E1240,A761,Pagamenti!D$2:D1240)</f>
        <v>0</v>
      </c>
      <c r="C761" s="17">
        <f>IFERROR(VLOOKUP(A761,'Codici ATECO 2022'!A$2:C1240,3),0)</f>
        <v>0</v>
      </c>
      <c r="D761" s="5">
        <f t="shared" si="2"/>
        <v>0</v>
      </c>
    </row>
    <row r="762" spans="2:4">
      <c r="B762" s="5">
        <f>SUMIF(Pagamenti!E$2:E1240,A762,Pagamenti!D$2:D1240)</f>
        <v>0</v>
      </c>
      <c r="C762" s="17">
        <f>IFERROR(VLOOKUP(A762,'Codici ATECO 2022'!A$2:C1240,3),0)</f>
        <v>0</v>
      </c>
      <c r="D762" s="5">
        <f t="shared" si="2"/>
        <v>0</v>
      </c>
    </row>
    <row r="763" spans="2:4">
      <c r="B763" s="5">
        <f>SUMIF(Pagamenti!E$2:E1240,A763,Pagamenti!D$2:D1240)</f>
        <v>0</v>
      </c>
      <c r="C763" s="17">
        <f>IFERROR(VLOOKUP(A763,'Codici ATECO 2022'!A$2:C1240,3),0)</f>
        <v>0</v>
      </c>
      <c r="D763" s="5">
        <f t="shared" si="2"/>
        <v>0</v>
      </c>
    </row>
    <row r="764" spans="2:4">
      <c r="B764" s="5">
        <f>SUMIF(Pagamenti!E$2:E1240,A764,Pagamenti!D$2:D1240)</f>
        <v>0</v>
      </c>
      <c r="C764" s="17">
        <f>IFERROR(VLOOKUP(A764,'Codici ATECO 2022'!A$2:C1240,3),0)</f>
        <v>0</v>
      </c>
      <c r="D764" s="5">
        <f t="shared" si="2"/>
        <v>0</v>
      </c>
    </row>
    <row r="765" spans="2:4">
      <c r="B765" s="5">
        <f>SUMIF(Pagamenti!E$2:E1240,A765,Pagamenti!D$2:D1240)</f>
        <v>0</v>
      </c>
      <c r="C765" s="17">
        <f>IFERROR(VLOOKUP(A765,'Codici ATECO 2022'!A$2:C1240,3),0)</f>
        <v>0</v>
      </c>
      <c r="D765" s="5">
        <f t="shared" si="2"/>
        <v>0</v>
      </c>
    </row>
    <row r="766" spans="2:4">
      <c r="B766" s="5">
        <f>SUMIF(Pagamenti!E$2:E1240,A766,Pagamenti!D$2:D1240)</f>
        <v>0</v>
      </c>
      <c r="C766" s="17">
        <f>IFERROR(VLOOKUP(A766,'Codici ATECO 2022'!A$2:C1240,3),0)</f>
        <v>0</v>
      </c>
      <c r="D766" s="5">
        <f t="shared" si="2"/>
        <v>0</v>
      </c>
    </row>
    <row r="767" spans="2:4">
      <c r="B767" s="5">
        <f>SUMIF(Pagamenti!E$2:E1240,A767,Pagamenti!D$2:D1240)</f>
        <v>0</v>
      </c>
      <c r="C767" s="17">
        <f>IFERROR(VLOOKUP(A767,'Codici ATECO 2022'!A$2:C1240,3),0)</f>
        <v>0</v>
      </c>
      <c r="D767" s="5">
        <f t="shared" ref="D767:D1021" si="3">B767*C767</f>
        <v>0</v>
      </c>
    </row>
    <row r="768" spans="2:4">
      <c r="B768" s="5">
        <f>SUMIF(Pagamenti!E$2:E1240,A768,Pagamenti!D$2:D1240)</f>
        <v>0</v>
      </c>
      <c r="C768" s="17">
        <f>IFERROR(VLOOKUP(A768,'Codici ATECO 2022'!A$2:C1240,3),0)</f>
        <v>0</v>
      </c>
      <c r="D768" s="5">
        <f t="shared" si="3"/>
        <v>0</v>
      </c>
    </row>
    <row r="769" spans="2:4">
      <c r="B769" s="5">
        <f>SUMIF(Pagamenti!E$2:E1240,A769,Pagamenti!D$2:D1240)</f>
        <v>0</v>
      </c>
      <c r="C769" s="17">
        <f>IFERROR(VLOOKUP(A769,'Codici ATECO 2022'!A$2:C1240,3),0)</f>
        <v>0</v>
      </c>
      <c r="D769" s="5">
        <f t="shared" si="3"/>
        <v>0</v>
      </c>
    </row>
    <row r="770" spans="2:4">
      <c r="B770" s="5">
        <f>SUMIF(Pagamenti!E$2:E1240,A770,Pagamenti!D$2:D1240)</f>
        <v>0</v>
      </c>
      <c r="C770" s="17">
        <f>IFERROR(VLOOKUP(A770,'Codici ATECO 2022'!A$2:C1240,3),0)</f>
        <v>0</v>
      </c>
      <c r="D770" s="5">
        <f t="shared" si="3"/>
        <v>0</v>
      </c>
    </row>
    <row r="771" spans="2:4">
      <c r="B771" s="5">
        <f>SUMIF(Pagamenti!E$2:E1240,A771,Pagamenti!D$2:D1240)</f>
        <v>0</v>
      </c>
      <c r="C771" s="17">
        <f>IFERROR(VLOOKUP(A771,'Codici ATECO 2022'!A$2:C1240,3),0)</f>
        <v>0</v>
      </c>
      <c r="D771" s="5">
        <f t="shared" si="3"/>
        <v>0</v>
      </c>
    </row>
    <row r="772" spans="2:4">
      <c r="B772" s="5">
        <f>SUMIF(Pagamenti!E$2:E1240,A772,Pagamenti!D$2:D1240)</f>
        <v>0</v>
      </c>
      <c r="C772" s="17">
        <f>IFERROR(VLOOKUP(A772,'Codici ATECO 2022'!A$2:C1240,3),0)</f>
        <v>0</v>
      </c>
      <c r="D772" s="5">
        <f t="shared" si="3"/>
        <v>0</v>
      </c>
    </row>
    <row r="773" spans="2:4">
      <c r="B773" s="5">
        <f>SUMIF(Pagamenti!E$2:E1240,A773,Pagamenti!D$2:D1240)</f>
        <v>0</v>
      </c>
      <c r="C773" s="17">
        <f>IFERROR(VLOOKUP(A773,'Codici ATECO 2022'!A$2:C1240,3),0)</f>
        <v>0</v>
      </c>
      <c r="D773" s="5">
        <f t="shared" si="3"/>
        <v>0</v>
      </c>
    </row>
    <row r="774" spans="2:4">
      <c r="B774" s="5">
        <f>SUMIF(Pagamenti!E$2:E1240,A774,Pagamenti!D$2:D1240)</f>
        <v>0</v>
      </c>
      <c r="C774" s="17">
        <f>IFERROR(VLOOKUP(A774,'Codici ATECO 2022'!A$2:C1240,3),0)</f>
        <v>0</v>
      </c>
      <c r="D774" s="5">
        <f t="shared" si="3"/>
        <v>0</v>
      </c>
    </row>
    <row r="775" spans="2:4">
      <c r="B775" s="5">
        <f>SUMIF(Pagamenti!E$2:E1240,A775,Pagamenti!D$2:D1240)</f>
        <v>0</v>
      </c>
      <c r="C775" s="17">
        <f>IFERROR(VLOOKUP(A775,'Codici ATECO 2022'!A$2:C1240,3),0)</f>
        <v>0</v>
      </c>
      <c r="D775" s="5">
        <f t="shared" si="3"/>
        <v>0</v>
      </c>
    </row>
    <row r="776" spans="2:4">
      <c r="B776" s="5">
        <f>SUMIF(Pagamenti!E$2:E1240,A776,Pagamenti!D$2:D1240)</f>
        <v>0</v>
      </c>
      <c r="C776" s="17">
        <f>IFERROR(VLOOKUP(A776,'Codici ATECO 2022'!A$2:C1240,3),0)</f>
        <v>0</v>
      </c>
      <c r="D776" s="5">
        <f t="shared" si="3"/>
        <v>0</v>
      </c>
    </row>
    <row r="777" spans="2:4">
      <c r="B777" s="5">
        <f>SUMIF(Pagamenti!E$2:E1240,A777,Pagamenti!D$2:D1240)</f>
        <v>0</v>
      </c>
      <c r="C777" s="17">
        <f>IFERROR(VLOOKUP(A777,'Codici ATECO 2022'!A$2:C1240,3),0)</f>
        <v>0</v>
      </c>
      <c r="D777" s="5">
        <f t="shared" si="3"/>
        <v>0</v>
      </c>
    </row>
    <row r="778" spans="2:4">
      <c r="B778" s="5">
        <f>SUMIF(Pagamenti!E$2:E1240,A778,Pagamenti!D$2:D1240)</f>
        <v>0</v>
      </c>
      <c r="C778" s="17">
        <f>IFERROR(VLOOKUP(A778,'Codici ATECO 2022'!A$2:C1240,3),0)</f>
        <v>0</v>
      </c>
      <c r="D778" s="5">
        <f t="shared" si="3"/>
        <v>0</v>
      </c>
    </row>
    <row r="779" spans="2:4">
      <c r="B779" s="5">
        <f>SUMIF(Pagamenti!E$2:E1240,A779,Pagamenti!D$2:D1240)</f>
        <v>0</v>
      </c>
      <c r="C779" s="17">
        <f>IFERROR(VLOOKUP(A779,'Codici ATECO 2022'!A$2:C1240,3),0)</f>
        <v>0</v>
      </c>
      <c r="D779" s="5">
        <f t="shared" si="3"/>
        <v>0</v>
      </c>
    </row>
    <row r="780" spans="2:4">
      <c r="B780" s="5">
        <f>SUMIF(Pagamenti!E$2:E1240,A780,Pagamenti!D$2:D1240)</f>
        <v>0</v>
      </c>
      <c r="C780" s="17">
        <f>IFERROR(VLOOKUP(A780,'Codici ATECO 2022'!A$2:C1240,3),0)</f>
        <v>0</v>
      </c>
      <c r="D780" s="5">
        <f t="shared" si="3"/>
        <v>0</v>
      </c>
    </row>
    <row r="781" spans="2:4">
      <c r="B781" s="5">
        <f>SUMIF(Pagamenti!E$2:E1240,A781,Pagamenti!D$2:D1240)</f>
        <v>0</v>
      </c>
      <c r="C781" s="17">
        <f>IFERROR(VLOOKUP(A781,'Codici ATECO 2022'!A$2:C1240,3),0)</f>
        <v>0</v>
      </c>
      <c r="D781" s="5">
        <f t="shared" si="3"/>
        <v>0</v>
      </c>
    </row>
    <row r="782" spans="2:4">
      <c r="B782" s="5">
        <f>SUMIF(Pagamenti!E$2:E1240,A782,Pagamenti!D$2:D1240)</f>
        <v>0</v>
      </c>
      <c r="C782" s="17">
        <f>IFERROR(VLOOKUP(A782,'Codici ATECO 2022'!A$2:C1240,3),0)</f>
        <v>0</v>
      </c>
      <c r="D782" s="5">
        <f t="shared" si="3"/>
        <v>0</v>
      </c>
    </row>
    <row r="783" spans="2:4">
      <c r="B783" s="5">
        <f>SUMIF(Pagamenti!E$2:E1240,A783,Pagamenti!D$2:D1240)</f>
        <v>0</v>
      </c>
      <c r="C783" s="17">
        <f>IFERROR(VLOOKUP(A783,'Codici ATECO 2022'!A$2:C1240,3),0)</f>
        <v>0</v>
      </c>
      <c r="D783" s="5">
        <f t="shared" si="3"/>
        <v>0</v>
      </c>
    </row>
    <row r="784" spans="2:4">
      <c r="B784" s="5">
        <f>SUMIF(Pagamenti!E$2:E1240,A784,Pagamenti!D$2:D1240)</f>
        <v>0</v>
      </c>
      <c r="C784" s="17">
        <f>IFERROR(VLOOKUP(A784,'Codici ATECO 2022'!A$2:C1240,3),0)</f>
        <v>0</v>
      </c>
      <c r="D784" s="5">
        <f t="shared" si="3"/>
        <v>0</v>
      </c>
    </row>
    <row r="785" spans="2:4">
      <c r="B785" s="5">
        <f>SUMIF(Pagamenti!E$2:E1240,A785,Pagamenti!D$2:D1240)</f>
        <v>0</v>
      </c>
      <c r="C785" s="17">
        <f>IFERROR(VLOOKUP(A785,'Codici ATECO 2022'!A$2:C1240,3),0)</f>
        <v>0</v>
      </c>
      <c r="D785" s="5">
        <f t="shared" si="3"/>
        <v>0</v>
      </c>
    </row>
    <row r="786" spans="2:4">
      <c r="B786" s="5">
        <f>SUMIF(Pagamenti!E$2:E1240,A786,Pagamenti!D$2:D1240)</f>
        <v>0</v>
      </c>
      <c r="C786" s="17">
        <f>IFERROR(VLOOKUP(A786,'Codici ATECO 2022'!A$2:C1240,3),0)</f>
        <v>0</v>
      </c>
      <c r="D786" s="5">
        <f t="shared" si="3"/>
        <v>0</v>
      </c>
    </row>
    <row r="787" spans="2:4">
      <c r="B787" s="5">
        <f>SUMIF(Pagamenti!E$2:E1240,A787,Pagamenti!D$2:D1240)</f>
        <v>0</v>
      </c>
      <c r="C787" s="17">
        <f>IFERROR(VLOOKUP(A787,'Codici ATECO 2022'!A$2:C1240,3),0)</f>
        <v>0</v>
      </c>
      <c r="D787" s="5">
        <f t="shared" si="3"/>
        <v>0</v>
      </c>
    </row>
    <row r="788" spans="2:4">
      <c r="B788" s="5">
        <f>SUMIF(Pagamenti!E$2:E1240,A788,Pagamenti!D$2:D1240)</f>
        <v>0</v>
      </c>
      <c r="C788" s="17">
        <f>IFERROR(VLOOKUP(A788,'Codici ATECO 2022'!A$2:C1240,3),0)</f>
        <v>0</v>
      </c>
      <c r="D788" s="5">
        <f t="shared" si="3"/>
        <v>0</v>
      </c>
    </row>
    <row r="789" spans="2:4">
      <c r="B789" s="5">
        <f>SUMIF(Pagamenti!E$2:E1240,A789,Pagamenti!D$2:D1240)</f>
        <v>0</v>
      </c>
      <c r="C789" s="17">
        <f>IFERROR(VLOOKUP(A789,'Codici ATECO 2022'!A$2:C1240,3),0)</f>
        <v>0</v>
      </c>
      <c r="D789" s="5">
        <f t="shared" si="3"/>
        <v>0</v>
      </c>
    </row>
    <row r="790" spans="2:4">
      <c r="B790" s="5">
        <f>SUMIF(Pagamenti!E$2:E1240,A790,Pagamenti!D$2:D1240)</f>
        <v>0</v>
      </c>
      <c r="C790" s="17">
        <f>IFERROR(VLOOKUP(A790,'Codici ATECO 2022'!A$2:C1240,3),0)</f>
        <v>0</v>
      </c>
      <c r="D790" s="5">
        <f t="shared" si="3"/>
        <v>0</v>
      </c>
    </row>
    <row r="791" spans="2:4">
      <c r="B791" s="5">
        <f>SUMIF(Pagamenti!E$2:E1240,A791,Pagamenti!D$2:D1240)</f>
        <v>0</v>
      </c>
      <c r="C791" s="17">
        <f>IFERROR(VLOOKUP(A791,'Codici ATECO 2022'!A$2:C1240,3),0)</f>
        <v>0</v>
      </c>
      <c r="D791" s="5">
        <f t="shared" si="3"/>
        <v>0</v>
      </c>
    </row>
    <row r="792" spans="2:4">
      <c r="B792" s="5">
        <f>SUMIF(Pagamenti!E$2:E1240,A792,Pagamenti!D$2:D1240)</f>
        <v>0</v>
      </c>
      <c r="C792" s="17">
        <f>IFERROR(VLOOKUP(A792,'Codici ATECO 2022'!A$2:C1240,3),0)</f>
        <v>0</v>
      </c>
      <c r="D792" s="5">
        <f t="shared" si="3"/>
        <v>0</v>
      </c>
    </row>
    <row r="793" spans="2:4">
      <c r="B793" s="5">
        <f>SUMIF(Pagamenti!E$2:E1240,A793,Pagamenti!D$2:D1240)</f>
        <v>0</v>
      </c>
      <c r="C793" s="17">
        <f>IFERROR(VLOOKUP(A793,'Codici ATECO 2022'!A$2:C1240,3),0)</f>
        <v>0</v>
      </c>
      <c r="D793" s="5">
        <f t="shared" si="3"/>
        <v>0</v>
      </c>
    </row>
    <row r="794" spans="2:4">
      <c r="B794" s="5">
        <f>SUMIF(Pagamenti!E$2:E1240,A794,Pagamenti!D$2:D1240)</f>
        <v>0</v>
      </c>
      <c r="C794" s="17">
        <f>IFERROR(VLOOKUP(A794,'Codici ATECO 2022'!A$2:C1240,3),0)</f>
        <v>0</v>
      </c>
      <c r="D794" s="5">
        <f t="shared" si="3"/>
        <v>0</v>
      </c>
    </row>
    <row r="795" spans="2:4">
      <c r="B795" s="5">
        <f>SUMIF(Pagamenti!E$2:E1240,A795,Pagamenti!D$2:D1240)</f>
        <v>0</v>
      </c>
      <c r="C795" s="17">
        <f>IFERROR(VLOOKUP(A795,'Codici ATECO 2022'!A$2:C1240,3),0)</f>
        <v>0</v>
      </c>
      <c r="D795" s="5">
        <f t="shared" si="3"/>
        <v>0</v>
      </c>
    </row>
    <row r="796" spans="2:4">
      <c r="B796" s="5">
        <f>SUMIF(Pagamenti!E$2:E1240,A796,Pagamenti!D$2:D1240)</f>
        <v>0</v>
      </c>
      <c r="C796" s="17">
        <f>IFERROR(VLOOKUP(A796,'Codici ATECO 2022'!A$2:C1240,3),0)</f>
        <v>0</v>
      </c>
      <c r="D796" s="5">
        <f t="shared" si="3"/>
        <v>0</v>
      </c>
    </row>
    <row r="797" spans="2:4">
      <c r="B797" s="5">
        <f>SUMIF(Pagamenti!E$2:E1240,A797,Pagamenti!D$2:D1240)</f>
        <v>0</v>
      </c>
      <c r="C797" s="17">
        <f>IFERROR(VLOOKUP(A797,'Codici ATECO 2022'!A$2:C1240,3),0)</f>
        <v>0</v>
      </c>
      <c r="D797" s="5">
        <f t="shared" si="3"/>
        <v>0</v>
      </c>
    </row>
    <row r="798" spans="2:4">
      <c r="B798" s="5">
        <f>SUMIF(Pagamenti!E$2:E1240,A798,Pagamenti!D$2:D1240)</f>
        <v>0</v>
      </c>
      <c r="C798" s="17">
        <f>IFERROR(VLOOKUP(A798,'Codici ATECO 2022'!A$2:C1240,3),0)</f>
        <v>0</v>
      </c>
      <c r="D798" s="5">
        <f t="shared" si="3"/>
        <v>0</v>
      </c>
    </row>
    <row r="799" spans="2:4">
      <c r="B799" s="5">
        <f>SUMIF(Pagamenti!E$2:E1240,A799,Pagamenti!D$2:D1240)</f>
        <v>0</v>
      </c>
      <c r="C799" s="17">
        <f>IFERROR(VLOOKUP(A799,'Codici ATECO 2022'!A$2:C1240,3),0)</f>
        <v>0</v>
      </c>
      <c r="D799" s="5">
        <f t="shared" si="3"/>
        <v>0</v>
      </c>
    </row>
    <row r="800" spans="2:4">
      <c r="B800" s="5">
        <f>SUMIF(Pagamenti!E$2:E1240,A800,Pagamenti!D$2:D1240)</f>
        <v>0</v>
      </c>
      <c r="C800" s="17">
        <f>IFERROR(VLOOKUP(A800,'Codici ATECO 2022'!A$2:C1240,3),0)</f>
        <v>0</v>
      </c>
      <c r="D800" s="5">
        <f t="shared" si="3"/>
        <v>0</v>
      </c>
    </row>
    <row r="801" spans="2:4">
      <c r="B801" s="5">
        <f>SUMIF(Pagamenti!E$2:E1240,A801,Pagamenti!D$2:D1240)</f>
        <v>0</v>
      </c>
      <c r="C801" s="17">
        <f>IFERROR(VLOOKUP(A801,'Codici ATECO 2022'!A$2:C1240,3),0)</f>
        <v>0</v>
      </c>
      <c r="D801" s="5">
        <f t="shared" si="3"/>
        <v>0</v>
      </c>
    </row>
    <row r="802" spans="2:4">
      <c r="B802" s="5">
        <f>SUMIF(Pagamenti!E$2:E1240,A802,Pagamenti!D$2:D1240)</f>
        <v>0</v>
      </c>
      <c r="C802" s="17">
        <f>IFERROR(VLOOKUP(A802,'Codici ATECO 2022'!A$2:C1240,3),0)</f>
        <v>0</v>
      </c>
      <c r="D802" s="5">
        <f t="shared" si="3"/>
        <v>0</v>
      </c>
    </row>
    <row r="803" spans="2:4">
      <c r="B803" s="5">
        <f>SUMIF(Pagamenti!E$2:E1240,A803,Pagamenti!D$2:D1240)</f>
        <v>0</v>
      </c>
      <c r="C803" s="17">
        <f>IFERROR(VLOOKUP(A803,'Codici ATECO 2022'!A$2:C1240,3),0)</f>
        <v>0</v>
      </c>
      <c r="D803" s="5">
        <f t="shared" si="3"/>
        <v>0</v>
      </c>
    </row>
    <row r="804" spans="2:4">
      <c r="B804" s="5">
        <f>SUMIF(Pagamenti!E$2:E1240,A804,Pagamenti!D$2:D1240)</f>
        <v>0</v>
      </c>
      <c r="C804" s="17">
        <f>IFERROR(VLOOKUP(A804,'Codici ATECO 2022'!A$2:C1240,3),0)</f>
        <v>0</v>
      </c>
      <c r="D804" s="5">
        <f t="shared" si="3"/>
        <v>0</v>
      </c>
    </row>
    <row r="805" spans="2:4">
      <c r="B805" s="5">
        <f>SUMIF(Pagamenti!E$2:E1240,A805,Pagamenti!D$2:D1240)</f>
        <v>0</v>
      </c>
      <c r="C805" s="17">
        <f>IFERROR(VLOOKUP(A805,'Codici ATECO 2022'!A$2:C1240,3),0)</f>
        <v>0</v>
      </c>
      <c r="D805" s="5">
        <f t="shared" si="3"/>
        <v>0</v>
      </c>
    </row>
    <row r="806" spans="2:4">
      <c r="B806" s="5">
        <f>SUMIF(Pagamenti!E$2:E1240,A806,Pagamenti!D$2:D1240)</f>
        <v>0</v>
      </c>
      <c r="C806" s="17">
        <f>IFERROR(VLOOKUP(A806,'Codici ATECO 2022'!A$2:C1240,3),0)</f>
        <v>0</v>
      </c>
      <c r="D806" s="5">
        <f t="shared" si="3"/>
        <v>0</v>
      </c>
    </row>
    <row r="807" spans="2:4">
      <c r="B807" s="5">
        <f>SUMIF(Pagamenti!E$2:E1240,A807,Pagamenti!D$2:D1240)</f>
        <v>0</v>
      </c>
      <c r="C807" s="17">
        <f>IFERROR(VLOOKUP(A807,'Codici ATECO 2022'!A$2:C1240,3),0)</f>
        <v>0</v>
      </c>
      <c r="D807" s="5">
        <f t="shared" si="3"/>
        <v>0</v>
      </c>
    </row>
    <row r="808" spans="2:4">
      <c r="B808" s="5">
        <f>SUMIF(Pagamenti!E$2:E1240,A808,Pagamenti!D$2:D1240)</f>
        <v>0</v>
      </c>
      <c r="C808" s="17">
        <f>IFERROR(VLOOKUP(A808,'Codici ATECO 2022'!A$2:C1240,3),0)</f>
        <v>0</v>
      </c>
      <c r="D808" s="5">
        <f t="shared" si="3"/>
        <v>0</v>
      </c>
    </row>
    <row r="809" spans="2:4">
      <c r="B809" s="5">
        <f>SUMIF(Pagamenti!E$2:E1240,A809,Pagamenti!D$2:D1240)</f>
        <v>0</v>
      </c>
      <c r="C809" s="17">
        <f>IFERROR(VLOOKUP(A809,'Codici ATECO 2022'!A$2:C1240,3),0)</f>
        <v>0</v>
      </c>
      <c r="D809" s="5">
        <f t="shared" si="3"/>
        <v>0</v>
      </c>
    </row>
    <row r="810" spans="2:4">
      <c r="B810" s="5">
        <f>SUMIF(Pagamenti!E$2:E1240,A810,Pagamenti!D$2:D1240)</f>
        <v>0</v>
      </c>
      <c r="C810" s="17">
        <f>IFERROR(VLOOKUP(A810,'Codici ATECO 2022'!A$2:C1240,3),0)</f>
        <v>0</v>
      </c>
      <c r="D810" s="5">
        <f t="shared" si="3"/>
        <v>0</v>
      </c>
    </row>
    <row r="811" spans="2:4">
      <c r="B811" s="5">
        <f>SUMIF(Pagamenti!E$2:E1240,A811,Pagamenti!D$2:D1240)</f>
        <v>0</v>
      </c>
      <c r="C811" s="17">
        <f>IFERROR(VLOOKUP(A811,'Codici ATECO 2022'!A$2:C1240,3),0)</f>
        <v>0</v>
      </c>
      <c r="D811" s="5">
        <f t="shared" si="3"/>
        <v>0</v>
      </c>
    </row>
    <row r="812" spans="2:4">
      <c r="B812" s="5">
        <f>SUMIF(Pagamenti!E$2:E1240,A812,Pagamenti!D$2:D1240)</f>
        <v>0</v>
      </c>
      <c r="C812" s="17">
        <f>IFERROR(VLOOKUP(A812,'Codici ATECO 2022'!A$2:C1240,3),0)</f>
        <v>0</v>
      </c>
      <c r="D812" s="5">
        <f t="shared" si="3"/>
        <v>0</v>
      </c>
    </row>
    <row r="813" spans="2:4">
      <c r="B813" s="5">
        <f>SUMIF(Pagamenti!E$2:E1240,A813,Pagamenti!D$2:D1240)</f>
        <v>0</v>
      </c>
      <c r="C813" s="17">
        <f>IFERROR(VLOOKUP(A813,'Codici ATECO 2022'!A$2:C1240,3),0)</f>
        <v>0</v>
      </c>
      <c r="D813" s="5">
        <f t="shared" si="3"/>
        <v>0</v>
      </c>
    </row>
    <row r="814" spans="2:4">
      <c r="B814" s="5">
        <f>SUMIF(Pagamenti!E$2:E1240,A814,Pagamenti!D$2:D1240)</f>
        <v>0</v>
      </c>
      <c r="C814" s="17">
        <f>IFERROR(VLOOKUP(A814,'Codici ATECO 2022'!A$2:C1240,3),0)</f>
        <v>0</v>
      </c>
      <c r="D814" s="5">
        <f t="shared" si="3"/>
        <v>0</v>
      </c>
    </row>
    <row r="815" spans="2:4">
      <c r="B815" s="5">
        <f>SUMIF(Pagamenti!E$2:E1240,A815,Pagamenti!D$2:D1240)</f>
        <v>0</v>
      </c>
      <c r="C815" s="17">
        <f>IFERROR(VLOOKUP(A815,'Codici ATECO 2022'!A$2:C1240,3),0)</f>
        <v>0</v>
      </c>
      <c r="D815" s="5">
        <f t="shared" si="3"/>
        <v>0</v>
      </c>
    </row>
    <row r="816" spans="2:4">
      <c r="B816" s="5">
        <f>SUMIF(Pagamenti!E$2:E1240,A816,Pagamenti!D$2:D1240)</f>
        <v>0</v>
      </c>
      <c r="C816" s="17">
        <f>IFERROR(VLOOKUP(A816,'Codici ATECO 2022'!A$2:C1240,3),0)</f>
        <v>0</v>
      </c>
      <c r="D816" s="5">
        <f t="shared" si="3"/>
        <v>0</v>
      </c>
    </row>
    <row r="817" spans="2:4">
      <c r="B817" s="5">
        <f>SUMIF(Pagamenti!E$2:E1240,A817,Pagamenti!D$2:D1240)</f>
        <v>0</v>
      </c>
      <c r="C817" s="17">
        <f>IFERROR(VLOOKUP(A817,'Codici ATECO 2022'!A$2:C1240,3),0)</f>
        <v>0</v>
      </c>
      <c r="D817" s="5">
        <f t="shared" si="3"/>
        <v>0</v>
      </c>
    </row>
    <row r="818" spans="2:4">
      <c r="B818" s="5">
        <f>SUMIF(Pagamenti!E$2:E1240,A818,Pagamenti!D$2:D1240)</f>
        <v>0</v>
      </c>
      <c r="C818" s="17">
        <f>IFERROR(VLOOKUP(A818,'Codici ATECO 2022'!A$2:C1240,3),0)</f>
        <v>0</v>
      </c>
      <c r="D818" s="5">
        <f t="shared" si="3"/>
        <v>0</v>
      </c>
    </row>
    <row r="819" spans="2:4">
      <c r="B819" s="5">
        <f>SUMIF(Pagamenti!E$2:E1240,A819,Pagamenti!D$2:D1240)</f>
        <v>0</v>
      </c>
      <c r="C819" s="17">
        <f>IFERROR(VLOOKUP(A819,'Codici ATECO 2022'!A$2:C1240,3),0)</f>
        <v>0</v>
      </c>
      <c r="D819" s="5">
        <f t="shared" si="3"/>
        <v>0</v>
      </c>
    </row>
    <row r="820" spans="2:4">
      <c r="B820" s="5">
        <f>SUMIF(Pagamenti!E$2:E1240,A820,Pagamenti!D$2:D1240)</f>
        <v>0</v>
      </c>
      <c r="C820" s="17">
        <f>IFERROR(VLOOKUP(A820,'Codici ATECO 2022'!A$2:C1240,3),0)</f>
        <v>0</v>
      </c>
      <c r="D820" s="5">
        <f t="shared" si="3"/>
        <v>0</v>
      </c>
    </row>
    <row r="821" spans="2:4">
      <c r="B821" s="5">
        <f>SUMIF(Pagamenti!E$2:E1240,A821,Pagamenti!D$2:D1240)</f>
        <v>0</v>
      </c>
      <c r="C821" s="17">
        <f>IFERROR(VLOOKUP(A821,'Codici ATECO 2022'!A$2:C1240,3),0)</f>
        <v>0</v>
      </c>
      <c r="D821" s="5">
        <f t="shared" si="3"/>
        <v>0</v>
      </c>
    </row>
    <row r="822" spans="2:4">
      <c r="B822" s="5">
        <f>SUMIF(Pagamenti!E$2:E1240,A822,Pagamenti!D$2:D1240)</f>
        <v>0</v>
      </c>
      <c r="C822" s="17">
        <f>IFERROR(VLOOKUP(A822,'Codici ATECO 2022'!A$2:C1240,3),0)</f>
        <v>0</v>
      </c>
      <c r="D822" s="5">
        <f t="shared" si="3"/>
        <v>0</v>
      </c>
    </row>
    <row r="823" spans="2:4">
      <c r="B823" s="5">
        <f>SUMIF(Pagamenti!E$2:E1240,A823,Pagamenti!D$2:D1240)</f>
        <v>0</v>
      </c>
      <c r="C823" s="17">
        <f>IFERROR(VLOOKUP(A823,'Codici ATECO 2022'!A$2:C1240,3),0)</f>
        <v>0</v>
      </c>
      <c r="D823" s="5">
        <f t="shared" si="3"/>
        <v>0</v>
      </c>
    </row>
    <row r="824" spans="2:4">
      <c r="B824" s="5">
        <f>SUMIF(Pagamenti!E$2:E1240,A824,Pagamenti!D$2:D1240)</f>
        <v>0</v>
      </c>
      <c r="C824" s="17">
        <f>IFERROR(VLOOKUP(A824,'Codici ATECO 2022'!A$2:C1240,3),0)</f>
        <v>0</v>
      </c>
      <c r="D824" s="5">
        <f t="shared" si="3"/>
        <v>0</v>
      </c>
    </row>
    <row r="825" spans="2:4">
      <c r="B825" s="5">
        <f>SUMIF(Pagamenti!E$2:E1240,A825,Pagamenti!D$2:D1240)</f>
        <v>0</v>
      </c>
      <c r="C825" s="17">
        <f>IFERROR(VLOOKUP(A825,'Codici ATECO 2022'!A$2:C1240,3),0)</f>
        <v>0</v>
      </c>
      <c r="D825" s="5">
        <f t="shared" si="3"/>
        <v>0</v>
      </c>
    </row>
    <row r="826" spans="2:4">
      <c r="B826" s="5">
        <f>SUMIF(Pagamenti!E$2:E1240,A826,Pagamenti!D$2:D1240)</f>
        <v>0</v>
      </c>
      <c r="C826" s="17">
        <f>IFERROR(VLOOKUP(A826,'Codici ATECO 2022'!A$2:C1240,3),0)</f>
        <v>0</v>
      </c>
      <c r="D826" s="5">
        <f t="shared" si="3"/>
        <v>0</v>
      </c>
    </row>
    <row r="827" spans="2:4">
      <c r="B827" s="5">
        <f>SUMIF(Pagamenti!E$2:E1240,A827,Pagamenti!D$2:D1240)</f>
        <v>0</v>
      </c>
      <c r="C827" s="17">
        <f>IFERROR(VLOOKUP(A827,'Codici ATECO 2022'!A$2:C1240,3),0)</f>
        <v>0</v>
      </c>
      <c r="D827" s="5">
        <f t="shared" si="3"/>
        <v>0</v>
      </c>
    </row>
    <row r="828" spans="2:4">
      <c r="B828" s="5">
        <f>SUMIF(Pagamenti!E$2:E1240,A828,Pagamenti!D$2:D1240)</f>
        <v>0</v>
      </c>
      <c r="C828" s="17">
        <f>IFERROR(VLOOKUP(A828,'Codici ATECO 2022'!A$2:C1240,3),0)</f>
        <v>0</v>
      </c>
      <c r="D828" s="5">
        <f t="shared" si="3"/>
        <v>0</v>
      </c>
    </row>
    <row r="829" spans="2:4">
      <c r="B829" s="5">
        <f>SUMIF(Pagamenti!E$2:E1240,A829,Pagamenti!D$2:D1240)</f>
        <v>0</v>
      </c>
      <c r="C829" s="17">
        <f>IFERROR(VLOOKUP(A829,'Codici ATECO 2022'!A$2:C1240,3),0)</f>
        <v>0</v>
      </c>
      <c r="D829" s="5">
        <f t="shared" si="3"/>
        <v>0</v>
      </c>
    </row>
    <row r="830" spans="2:4">
      <c r="B830" s="5">
        <f>SUMIF(Pagamenti!E$2:E1240,A830,Pagamenti!D$2:D1240)</f>
        <v>0</v>
      </c>
      <c r="C830" s="17">
        <f>IFERROR(VLOOKUP(A830,'Codici ATECO 2022'!A$2:C1240,3),0)</f>
        <v>0</v>
      </c>
      <c r="D830" s="5">
        <f t="shared" si="3"/>
        <v>0</v>
      </c>
    </row>
    <row r="831" spans="2:4">
      <c r="B831" s="5">
        <f>SUMIF(Pagamenti!E$2:E1240,A831,Pagamenti!D$2:D1240)</f>
        <v>0</v>
      </c>
      <c r="C831" s="17">
        <f>IFERROR(VLOOKUP(A831,'Codici ATECO 2022'!A$2:C1240,3),0)</f>
        <v>0</v>
      </c>
      <c r="D831" s="5">
        <f t="shared" si="3"/>
        <v>0</v>
      </c>
    </row>
    <row r="832" spans="2:4">
      <c r="B832" s="5">
        <f>SUMIF(Pagamenti!E$2:E1240,A832,Pagamenti!D$2:D1240)</f>
        <v>0</v>
      </c>
      <c r="C832" s="17">
        <f>IFERROR(VLOOKUP(A832,'Codici ATECO 2022'!A$2:C1240,3),0)</f>
        <v>0</v>
      </c>
      <c r="D832" s="5">
        <f t="shared" si="3"/>
        <v>0</v>
      </c>
    </row>
    <row r="833" spans="2:4">
      <c r="B833" s="5">
        <f>SUMIF(Pagamenti!E$2:E1240,A833,Pagamenti!D$2:D1240)</f>
        <v>0</v>
      </c>
      <c r="C833" s="17">
        <f>IFERROR(VLOOKUP(A833,'Codici ATECO 2022'!A$2:C1240,3),0)</f>
        <v>0</v>
      </c>
      <c r="D833" s="5">
        <f t="shared" si="3"/>
        <v>0</v>
      </c>
    </row>
    <row r="834" spans="2:4">
      <c r="B834" s="5">
        <f>SUMIF(Pagamenti!E$2:E1240,A834,Pagamenti!D$2:D1240)</f>
        <v>0</v>
      </c>
      <c r="C834" s="17">
        <f>IFERROR(VLOOKUP(A834,'Codici ATECO 2022'!A$2:C1240,3),0)</f>
        <v>0</v>
      </c>
      <c r="D834" s="5">
        <f t="shared" si="3"/>
        <v>0</v>
      </c>
    </row>
    <row r="835" spans="2:4">
      <c r="B835" s="5">
        <f>SUMIF(Pagamenti!E$2:E1240,A835,Pagamenti!D$2:D1240)</f>
        <v>0</v>
      </c>
      <c r="C835" s="17">
        <f>IFERROR(VLOOKUP(A835,'Codici ATECO 2022'!A$2:C1240,3),0)</f>
        <v>0</v>
      </c>
      <c r="D835" s="5">
        <f t="shared" si="3"/>
        <v>0</v>
      </c>
    </row>
    <row r="836" spans="2:4">
      <c r="B836" s="5">
        <f>SUMIF(Pagamenti!E$2:E1240,A836,Pagamenti!D$2:D1240)</f>
        <v>0</v>
      </c>
      <c r="C836" s="17">
        <f>IFERROR(VLOOKUP(A836,'Codici ATECO 2022'!A$2:C1240,3),0)</f>
        <v>0</v>
      </c>
      <c r="D836" s="5">
        <f t="shared" si="3"/>
        <v>0</v>
      </c>
    </row>
    <row r="837" spans="2:4">
      <c r="B837" s="5">
        <f>SUMIF(Pagamenti!E$2:E1240,A837,Pagamenti!D$2:D1240)</f>
        <v>0</v>
      </c>
      <c r="C837" s="17">
        <f>IFERROR(VLOOKUP(A837,'Codici ATECO 2022'!A$2:C1240,3),0)</f>
        <v>0</v>
      </c>
      <c r="D837" s="5">
        <f t="shared" si="3"/>
        <v>0</v>
      </c>
    </row>
    <row r="838" spans="2:4">
      <c r="B838" s="5">
        <f>SUMIF(Pagamenti!E$2:E1240,A838,Pagamenti!D$2:D1240)</f>
        <v>0</v>
      </c>
      <c r="C838" s="17">
        <f>IFERROR(VLOOKUP(A838,'Codici ATECO 2022'!A$2:C1240,3),0)</f>
        <v>0</v>
      </c>
      <c r="D838" s="5">
        <f t="shared" si="3"/>
        <v>0</v>
      </c>
    </row>
    <row r="839" spans="2:4">
      <c r="B839" s="5">
        <f>SUMIF(Pagamenti!E$2:E1240,A839,Pagamenti!D$2:D1240)</f>
        <v>0</v>
      </c>
      <c r="C839" s="17">
        <f>IFERROR(VLOOKUP(A839,'Codici ATECO 2022'!A$2:C1240,3),0)</f>
        <v>0</v>
      </c>
      <c r="D839" s="5">
        <f t="shared" si="3"/>
        <v>0</v>
      </c>
    </row>
    <row r="840" spans="2:4">
      <c r="B840" s="5">
        <f>SUMIF(Pagamenti!E$2:E1240,A840,Pagamenti!D$2:D1240)</f>
        <v>0</v>
      </c>
      <c r="C840" s="17">
        <f>IFERROR(VLOOKUP(A840,'Codici ATECO 2022'!A$2:C1240,3),0)</f>
        <v>0</v>
      </c>
      <c r="D840" s="5">
        <f t="shared" si="3"/>
        <v>0</v>
      </c>
    </row>
    <row r="841" spans="2:4">
      <c r="B841" s="5">
        <f>SUMIF(Pagamenti!E$2:E1240,A841,Pagamenti!D$2:D1240)</f>
        <v>0</v>
      </c>
      <c r="C841" s="17">
        <f>IFERROR(VLOOKUP(A841,'Codici ATECO 2022'!A$2:C1240,3),0)</f>
        <v>0</v>
      </c>
      <c r="D841" s="5">
        <f t="shared" si="3"/>
        <v>0</v>
      </c>
    </row>
    <row r="842" spans="2:4">
      <c r="B842" s="5">
        <f>SUMIF(Pagamenti!E$2:E1240,A842,Pagamenti!D$2:D1240)</f>
        <v>0</v>
      </c>
      <c r="C842" s="17">
        <f>IFERROR(VLOOKUP(A842,'Codici ATECO 2022'!A$2:C1240,3),0)</f>
        <v>0</v>
      </c>
      <c r="D842" s="5">
        <f t="shared" si="3"/>
        <v>0</v>
      </c>
    </row>
    <row r="843" spans="2:4">
      <c r="B843" s="5">
        <f>SUMIF(Pagamenti!E$2:E1240,A843,Pagamenti!D$2:D1240)</f>
        <v>0</v>
      </c>
      <c r="C843" s="17">
        <f>IFERROR(VLOOKUP(A843,'Codici ATECO 2022'!A$2:C1240,3),0)</f>
        <v>0</v>
      </c>
      <c r="D843" s="5">
        <f t="shared" si="3"/>
        <v>0</v>
      </c>
    </row>
    <row r="844" spans="2:4">
      <c r="B844" s="5">
        <f>SUMIF(Pagamenti!E$2:E1240,A844,Pagamenti!D$2:D1240)</f>
        <v>0</v>
      </c>
      <c r="C844" s="17">
        <f>IFERROR(VLOOKUP(A844,'Codici ATECO 2022'!A$2:C1240,3),0)</f>
        <v>0</v>
      </c>
      <c r="D844" s="5">
        <f t="shared" si="3"/>
        <v>0</v>
      </c>
    </row>
    <row r="845" spans="2:4">
      <c r="B845" s="5">
        <f>SUMIF(Pagamenti!E$2:E1240,A845,Pagamenti!D$2:D1240)</f>
        <v>0</v>
      </c>
      <c r="C845" s="17">
        <f>IFERROR(VLOOKUP(A845,'Codici ATECO 2022'!A$2:C1240,3),0)</f>
        <v>0</v>
      </c>
      <c r="D845" s="5">
        <f t="shared" si="3"/>
        <v>0</v>
      </c>
    </row>
    <row r="846" spans="2:4">
      <c r="B846" s="5">
        <f>SUMIF(Pagamenti!E$2:E1240,A846,Pagamenti!D$2:D1240)</f>
        <v>0</v>
      </c>
      <c r="C846" s="17">
        <f>IFERROR(VLOOKUP(A846,'Codici ATECO 2022'!A$2:C1240,3),0)</f>
        <v>0</v>
      </c>
      <c r="D846" s="5">
        <f t="shared" si="3"/>
        <v>0</v>
      </c>
    </row>
    <row r="847" spans="2:4">
      <c r="B847" s="5">
        <f>SUMIF(Pagamenti!E$2:E1240,A847,Pagamenti!D$2:D1240)</f>
        <v>0</v>
      </c>
      <c r="C847" s="17">
        <f>IFERROR(VLOOKUP(A847,'Codici ATECO 2022'!A$2:C1240,3),0)</f>
        <v>0</v>
      </c>
      <c r="D847" s="5">
        <f t="shared" si="3"/>
        <v>0</v>
      </c>
    </row>
    <row r="848" spans="2:4">
      <c r="B848" s="5">
        <f>SUMIF(Pagamenti!E$2:E1240,A848,Pagamenti!D$2:D1240)</f>
        <v>0</v>
      </c>
      <c r="C848" s="17">
        <f>IFERROR(VLOOKUP(A848,'Codici ATECO 2022'!A$2:C1240,3),0)</f>
        <v>0</v>
      </c>
      <c r="D848" s="5">
        <f t="shared" si="3"/>
        <v>0</v>
      </c>
    </row>
    <row r="849" spans="2:4">
      <c r="B849" s="5">
        <f>SUMIF(Pagamenti!E$2:E1240,A849,Pagamenti!D$2:D1240)</f>
        <v>0</v>
      </c>
      <c r="C849" s="17">
        <f>IFERROR(VLOOKUP(A849,'Codici ATECO 2022'!A$2:C1240,3),0)</f>
        <v>0</v>
      </c>
      <c r="D849" s="5">
        <f t="shared" si="3"/>
        <v>0</v>
      </c>
    </row>
    <row r="850" spans="2:4">
      <c r="B850" s="5">
        <f>SUMIF(Pagamenti!E$2:E1240,A850,Pagamenti!D$2:D1240)</f>
        <v>0</v>
      </c>
      <c r="C850" s="17">
        <f>IFERROR(VLOOKUP(A850,'Codici ATECO 2022'!A$2:C1240,3),0)</f>
        <v>0</v>
      </c>
      <c r="D850" s="5">
        <f t="shared" si="3"/>
        <v>0</v>
      </c>
    </row>
    <row r="851" spans="2:4">
      <c r="B851" s="5">
        <f>SUMIF(Pagamenti!E$2:E1240,A851,Pagamenti!D$2:D1240)</f>
        <v>0</v>
      </c>
      <c r="C851" s="17">
        <f>IFERROR(VLOOKUP(A851,'Codici ATECO 2022'!A$2:C1240,3),0)</f>
        <v>0</v>
      </c>
      <c r="D851" s="5">
        <f t="shared" si="3"/>
        <v>0</v>
      </c>
    </row>
    <row r="852" spans="2:4">
      <c r="B852" s="5">
        <f>SUMIF(Pagamenti!E$2:E1240,A852,Pagamenti!D$2:D1240)</f>
        <v>0</v>
      </c>
      <c r="C852" s="17">
        <f>IFERROR(VLOOKUP(A852,'Codici ATECO 2022'!A$2:C1240,3),0)</f>
        <v>0</v>
      </c>
      <c r="D852" s="5">
        <f t="shared" si="3"/>
        <v>0</v>
      </c>
    </row>
    <row r="853" spans="2:4">
      <c r="B853" s="5">
        <f>SUMIF(Pagamenti!E$2:E1240,A853,Pagamenti!D$2:D1240)</f>
        <v>0</v>
      </c>
      <c r="C853" s="17">
        <f>IFERROR(VLOOKUP(A853,'Codici ATECO 2022'!A$2:C1240,3),0)</f>
        <v>0</v>
      </c>
      <c r="D853" s="5">
        <f t="shared" si="3"/>
        <v>0</v>
      </c>
    </row>
    <row r="854" spans="2:4">
      <c r="B854" s="5">
        <f>SUMIF(Pagamenti!E$2:E1240,A854,Pagamenti!D$2:D1240)</f>
        <v>0</v>
      </c>
      <c r="C854" s="17">
        <f>IFERROR(VLOOKUP(A854,'Codici ATECO 2022'!A$2:C1240,3),0)</f>
        <v>0</v>
      </c>
      <c r="D854" s="5">
        <f t="shared" si="3"/>
        <v>0</v>
      </c>
    </row>
    <row r="855" spans="2:4">
      <c r="B855" s="5">
        <f>SUMIF(Pagamenti!E$2:E1240,A855,Pagamenti!D$2:D1240)</f>
        <v>0</v>
      </c>
      <c r="C855" s="17">
        <f>IFERROR(VLOOKUP(A855,'Codici ATECO 2022'!A$2:C1240,3),0)</f>
        <v>0</v>
      </c>
      <c r="D855" s="5">
        <f t="shared" si="3"/>
        <v>0</v>
      </c>
    </row>
    <row r="856" spans="2:4">
      <c r="B856" s="5">
        <f>SUMIF(Pagamenti!E$2:E1240,A856,Pagamenti!D$2:D1240)</f>
        <v>0</v>
      </c>
      <c r="C856" s="17">
        <f>IFERROR(VLOOKUP(A856,'Codici ATECO 2022'!A$2:C1240,3),0)</f>
        <v>0</v>
      </c>
      <c r="D856" s="5">
        <f t="shared" si="3"/>
        <v>0</v>
      </c>
    </row>
    <row r="857" spans="2:4">
      <c r="B857" s="5">
        <f>SUMIF(Pagamenti!E$2:E1240,A857,Pagamenti!D$2:D1240)</f>
        <v>0</v>
      </c>
      <c r="C857" s="17">
        <f>IFERROR(VLOOKUP(A857,'Codici ATECO 2022'!A$2:C1240,3),0)</f>
        <v>0</v>
      </c>
      <c r="D857" s="5">
        <f t="shared" si="3"/>
        <v>0</v>
      </c>
    </row>
    <row r="858" spans="2:4">
      <c r="B858" s="5">
        <f>SUMIF(Pagamenti!E$2:E1240,A858,Pagamenti!D$2:D1240)</f>
        <v>0</v>
      </c>
      <c r="C858" s="17">
        <f>IFERROR(VLOOKUP(A858,'Codici ATECO 2022'!A$2:C1240,3),0)</f>
        <v>0</v>
      </c>
      <c r="D858" s="5">
        <f t="shared" si="3"/>
        <v>0</v>
      </c>
    </row>
    <row r="859" spans="2:4">
      <c r="B859" s="5">
        <f>SUMIF(Pagamenti!E$2:E1240,A859,Pagamenti!D$2:D1240)</f>
        <v>0</v>
      </c>
      <c r="C859" s="17">
        <f>IFERROR(VLOOKUP(A859,'Codici ATECO 2022'!A$2:C1240,3),0)</f>
        <v>0</v>
      </c>
      <c r="D859" s="5">
        <f t="shared" si="3"/>
        <v>0</v>
      </c>
    </row>
    <row r="860" spans="2:4">
      <c r="B860" s="5">
        <f>SUMIF(Pagamenti!E$2:E1240,A860,Pagamenti!D$2:D1240)</f>
        <v>0</v>
      </c>
      <c r="C860" s="17">
        <f>IFERROR(VLOOKUP(A860,'Codici ATECO 2022'!A$2:C1240,3),0)</f>
        <v>0</v>
      </c>
      <c r="D860" s="5">
        <f t="shared" si="3"/>
        <v>0</v>
      </c>
    </row>
    <row r="861" spans="2:4">
      <c r="B861" s="5">
        <f>SUMIF(Pagamenti!E$2:E1240,A861,Pagamenti!D$2:D1240)</f>
        <v>0</v>
      </c>
      <c r="C861" s="17">
        <f>IFERROR(VLOOKUP(A861,'Codici ATECO 2022'!A$2:C1240,3),0)</f>
        <v>0</v>
      </c>
      <c r="D861" s="5">
        <f t="shared" si="3"/>
        <v>0</v>
      </c>
    </row>
    <row r="862" spans="2:4">
      <c r="B862" s="5">
        <f>SUMIF(Pagamenti!E$2:E1240,A862,Pagamenti!D$2:D1240)</f>
        <v>0</v>
      </c>
      <c r="C862" s="17">
        <f>IFERROR(VLOOKUP(A862,'Codici ATECO 2022'!A$2:C1240,3),0)</f>
        <v>0</v>
      </c>
      <c r="D862" s="5">
        <f t="shared" si="3"/>
        <v>0</v>
      </c>
    </row>
    <row r="863" spans="2:4">
      <c r="B863" s="5">
        <f>SUMIF(Pagamenti!E$2:E1240,A863,Pagamenti!D$2:D1240)</f>
        <v>0</v>
      </c>
      <c r="C863" s="17">
        <f>IFERROR(VLOOKUP(A863,'Codici ATECO 2022'!A$2:C1240,3),0)</f>
        <v>0</v>
      </c>
      <c r="D863" s="5">
        <f t="shared" si="3"/>
        <v>0</v>
      </c>
    </row>
    <row r="864" spans="2:4">
      <c r="B864" s="5">
        <f>SUMIF(Pagamenti!E$2:E1240,A864,Pagamenti!D$2:D1240)</f>
        <v>0</v>
      </c>
      <c r="C864" s="17">
        <f>IFERROR(VLOOKUP(A864,'Codici ATECO 2022'!A$2:C1240,3),0)</f>
        <v>0</v>
      </c>
      <c r="D864" s="5">
        <f t="shared" si="3"/>
        <v>0</v>
      </c>
    </row>
    <row r="865" spans="2:4">
      <c r="B865" s="5">
        <f>SUMIF(Pagamenti!E$2:E1240,A865,Pagamenti!D$2:D1240)</f>
        <v>0</v>
      </c>
      <c r="C865" s="17">
        <f>IFERROR(VLOOKUP(A865,'Codici ATECO 2022'!A$2:C1240,3),0)</f>
        <v>0</v>
      </c>
      <c r="D865" s="5">
        <f t="shared" si="3"/>
        <v>0</v>
      </c>
    </row>
    <row r="866" spans="2:4">
      <c r="B866" s="5">
        <f>SUMIF(Pagamenti!E$2:E1240,A866,Pagamenti!D$2:D1240)</f>
        <v>0</v>
      </c>
      <c r="C866" s="17">
        <f>IFERROR(VLOOKUP(A866,'Codici ATECO 2022'!A$2:C1240,3),0)</f>
        <v>0</v>
      </c>
      <c r="D866" s="5">
        <f t="shared" si="3"/>
        <v>0</v>
      </c>
    </row>
    <row r="867" spans="2:4">
      <c r="B867" s="5">
        <f>SUMIF(Pagamenti!E$2:E1240,A867,Pagamenti!D$2:D1240)</f>
        <v>0</v>
      </c>
      <c r="C867" s="17">
        <f>IFERROR(VLOOKUP(A867,'Codici ATECO 2022'!A$2:C1240,3),0)</f>
        <v>0</v>
      </c>
      <c r="D867" s="5">
        <f t="shared" si="3"/>
        <v>0</v>
      </c>
    </row>
    <row r="868" spans="2:4">
      <c r="B868" s="5">
        <f>SUMIF(Pagamenti!E$2:E1240,A868,Pagamenti!D$2:D1240)</f>
        <v>0</v>
      </c>
      <c r="C868" s="17">
        <f>IFERROR(VLOOKUP(A868,'Codici ATECO 2022'!A$2:C1240,3),0)</f>
        <v>0</v>
      </c>
      <c r="D868" s="5">
        <f t="shared" si="3"/>
        <v>0</v>
      </c>
    </row>
    <row r="869" spans="2:4">
      <c r="B869" s="5">
        <f>SUMIF(Pagamenti!E$2:E1240,A869,Pagamenti!D$2:D1240)</f>
        <v>0</v>
      </c>
      <c r="C869" s="17">
        <f>IFERROR(VLOOKUP(A869,'Codici ATECO 2022'!A$2:C1240,3),0)</f>
        <v>0</v>
      </c>
      <c r="D869" s="5">
        <f t="shared" si="3"/>
        <v>0</v>
      </c>
    </row>
    <row r="870" spans="2:4">
      <c r="B870" s="5">
        <f>SUMIF(Pagamenti!E$2:E1240,A870,Pagamenti!D$2:D1240)</f>
        <v>0</v>
      </c>
      <c r="C870" s="17">
        <f>IFERROR(VLOOKUP(A870,'Codici ATECO 2022'!A$2:C1240,3),0)</f>
        <v>0</v>
      </c>
      <c r="D870" s="5">
        <f t="shared" si="3"/>
        <v>0</v>
      </c>
    </row>
    <row r="871" spans="2:4">
      <c r="B871" s="5">
        <f>SUMIF(Pagamenti!E$2:E1240,A871,Pagamenti!D$2:D1240)</f>
        <v>0</v>
      </c>
      <c r="C871" s="17">
        <f>IFERROR(VLOOKUP(A871,'Codici ATECO 2022'!A$2:C1240,3),0)</f>
        <v>0</v>
      </c>
      <c r="D871" s="5">
        <f t="shared" si="3"/>
        <v>0</v>
      </c>
    </row>
    <row r="872" spans="2:4">
      <c r="B872" s="5">
        <f>SUMIF(Pagamenti!E$2:E1240,A872,Pagamenti!D$2:D1240)</f>
        <v>0</v>
      </c>
      <c r="C872" s="17">
        <f>IFERROR(VLOOKUP(A872,'Codici ATECO 2022'!A$2:C1240,3),0)</f>
        <v>0</v>
      </c>
      <c r="D872" s="5">
        <f t="shared" si="3"/>
        <v>0</v>
      </c>
    </row>
    <row r="873" spans="2:4">
      <c r="B873" s="5">
        <f>SUMIF(Pagamenti!E$2:E1240,A873,Pagamenti!D$2:D1240)</f>
        <v>0</v>
      </c>
      <c r="C873" s="17">
        <f>IFERROR(VLOOKUP(A873,'Codici ATECO 2022'!A$2:C1240,3),0)</f>
        <v>0</v>
      </c>
      <c r="D873" s="5">
        <f t="shared" si="3"/>
        <v>0</v>
      </c>
    </row>
    <row r="874" spans="2:4">
      <c r="B874" s="5">
        <f>SUMIF(Pagamenti!E$2:E1240,A874,Pagamenti!D$2:D1240)</f>
        <v>0</v>
      </c>
      <c r="C874" s="17">
        <f>IFERROR(VLOOKUP(A874,'Codici ATECO 2022'!A$2:C1240,3),0)</f>
        <v>0</v>
      </c>
      <c r="D874" s="5">
        <f t="shared" si="3"/>
        <v>0</v>
      </c>
    </row>
    <row r="875" spans="2:4">
      <c r="B875" s="5">
        <f>SUMIF(Pagamenti!E$2:E1240,A875,Pagamenti!D$2:D1240)</f>
        <v>0</v>
      </c>
      <c r="C875" s="17">
        <f>IFERROR(VLOOKUP(A875,'Codici ATECO 2022'!A$2:C1240,3),0)</f>
        <v>0</v>
      </c>
      <c r="D875" s="5">
        <f t="shared" si="3"/>
        <v>0</v>
      </c>
    </row>
    <row r="876" spans="2:4">
      <c r="B876" s="5">
        <f>SUMIF(Pagamenti!E$2:E1240,A876,Pagamenti!D$2:D1240)</f>
        <v>0</v>
      </c>
      <c r="C876" s="17">
        <f>IFERROR(VLOOKUP(A876,'Codici ATECO 2022'!A$2:C1240,3),0)</f>
        <v>0</v>
      </c>
      <c r="D876" s="5">
        <f t="shared" si="3"/>
        <v>0</v>
      </c>
    </row>
    <row r="877" spans="2:4">
      <c r="B877" s="5">
        <f>SUMIF(Pagamenti!E$2:E1240,A877,Pagamenti!D$2:D1240)</f>
        <v>0</v>
      </c>
      <c r="C877" s="17">
        <f>IFERROR(VLOOKUP(A877,'Codici ATECO 2022'!A$2:C1240,3),0)</f>
        <v>0</v>
      </c>
      <c r="D877" s="5">
        <f t="shared" si="3"/>
        <v>0</v>
      </c>
    </row>
    <row r="878" spans="2:4">
      <c r="B878" s="5">
        <f>SUMIF(Pagamenti!E$2:E1240,A878,Pagamenti!D$2:D1240)</f>
        <v>0</v>
      </c>
      <c r="C878" s="17">
        <f>IFERROR(VLOOKUP(A878,'Codici ATECO 2022'!A$2:C1240,3),0)</f>
        <v>0</v>
      </c>
      <c r="D878" s="5">
        <f t="shared" si="3"/>
        <v>0</v>
      </c>
    </row>
    <row r="879" spans="2:4">
      <c r="B879" s="5">
        <f>SUMIF(Pagamenti!E$2:E1240,A879,Pagamenti!D$2:D1240)</f>
        <v>0</v>
      </c>
      <c r="C879" s="17">
        <f>IFERROR(VLOOKUP(A879,'Codici ATECO 2022'!A$2:C1240,3),0)</f>
        <v>0</v>
      </c>
      <c r="D879" s="5">
        <f t="shared" si="3"/>
        <v>0</v>
      </c>
    </row>
    <row r="880" spans="2:4">
      <c r="B880" s="5">
        <f>SUMIF(Pagamenti!E$2:E1240,A880,Pagamenti!D$2:D1240)</f>
        <v>0</v>
      </c>
      <c r="C880" s="17">
        <f>IFERROR(VLOOKUP(A880,'Codici ATECO 2022'!A$2:C1240,3),0)</f>
        <v>0</v>
      </c>
      <c r="D880" s="5">
        <f t="shared" si="3"/>
        <v>0</v>
      </c>
    </row>
    <row r="881" spans="2:4">
      <c r="B881" s="5">
        <f>SUMIF(Pagamenti!E$2:E1240,A881,Pagamenti!D$2:D1240)</f>
        <v>0</v>
      </c>
      <c r="C881" s="17">
        <f>IFERROR(VLOOKUP(A881,'Codici ATECO 2022'!A$2:C1240,3),0)</f>
        <v>0</v>
      </c>
      <c r="D881" s="5">
        <f t="shared" si="3"/>
        <v>0</v>
      </c>
    </row>
    <row r="882" spans="2:4">
      <c r="B882" s="5">
        <f>SUMIF(Pagamenti!E$2:E1240,A882,Pagamenti!D$2:D1240)</f>
        <v>0</v>
      </c>
      <c r="C882" s="17">
        <f>IFERROR(VLOOKUP(A882,'Codici ATECO 2022'!A$2:C1240,3),0)</f>
        <v>0</v>
      </c>
      <c r="D882" s="5">
        <f t="shared" si="3"/>
        <v>0</v>
      </c>
    </row>
    <row r="883" spans="2:4">
      <c r="B883" s="5">
        <f>SUMIF(Pagamenti!E$2:E1240,A883,Pagamenti!D$2:D1240)</f>
        <v>0</v>
      </c>
      <c r="C883" s="17">
        <f>IFERROR(VLOOKUP(A883,'Codici ATECO 2022'!A$2:C1240,3),0)</f>
        <v>0</v>
      </c>
      <c r="D883" s="5">
        <f t="shared" si="3"/>
        <v>0</v>
      </c>
    </row>
    <row r="884" spans="2:4">
      <c r="B884" s="5">
        <f>SUMIF(Pagamenti!E$2:E1240,A884,Pagamenti!D$2:D1240)</f>
        <v>0</v>
      </c>
      <c r="C884" s="17">
        <f>IFERROR(VLOOKUP(A884,'Codici ATECO 2022'!A$2:C1240,3),0)</f>
        <v>0</v>
      </c>
      <c r="D884" s="5">
        <f t="shared" si="3"/>
        <v>0</v>
      </c>
    </row>
    <row r="885" spans="2:4">
      <c r="B885" s="5">
        <f>SUMIF(Pagamenti!E$2:E1240,A885,Pagamenti!D$2:D1240)</f>
        <v>0</v>
      </c>
      <c r="C885" s="17">
        <f>IFERROR(VLOOKUP(A885,'Codici ATECO 2022'!A$2:C1240,3),0)</f>
        <v>0</v>
      </c>
      <c r="D885" s="5">
        <f t="shared" si="3"/>
        <v>0</v>
      </c>
    </row>
    <row r="886" spans="2:4">
      <c r="B886" s="5">
        <f>SUMIF(Pagamenti!E$2:E1240,A886,Pagamenti!D$2:D1240)</f>
        <v>0</v>
      </c>
      <c r="C886" s="17">
        <f>IFERROR(VLOOKUP(A886,'Codici ATECO 2022'!A$2:C1240,3),0)</f>
        <v>0</v>
      </c>
      <c r="D886" s="5">
        <f t="shared" si="3"/>
        <v>0</v>
      </c>
    </row>
    <row r="887" spans="2:4">
      <c r="B887" s="5">
        <f>SUMIF(Pagamenti!E$2:E1240,A887,Pagamenti!D$2:D1240)</f>
        <v>0</v>
      </c>
      <c r="C887" s="17">
        <f>IFERROR(VLOOKUP(A887,'Codici ATECO 2022'!A$2:C1240,3),0)</f>
        <v>0</v>
      </c>
      <c r="D887" s="5">
        <f t="shared" si="3"/>
        <v>0</v>
      </c>
    </row>
    <row r="888" spans="2:4">
      <c r="B888" s="5">
        <f>SUMIF(Pagamenti!E$2:E1240,A888,Pagamenti!D$2:D1240)</f>
        <v>0</v>
      </c>
      <c r="C888" s="17">
        <f>IFERROR(VLOOKUP(A888,'Codici ATECO 2022'!A$2:C1240,3),0)</f>
        <v>0</v>
      </c>
      <c r="D888" s="5">
        <f t="shared" si="3"/>
        <v>0</v>
      </c>
    </row>
    <row r="889" spans="2:4">
      <c r="B889" s="5">
        <f>SUMIF(Pagamenti!E$2:E1240,A889,Pagamenti!D$2:D1240)</f>
        <v>0</v>
      </c>
      <c r="C889" s="17">
        <f>IFERROR(VLOOKUP(A889,'Codici ATECO 2022'!A$2:C1240,3),0)</f>
        <v>0</v>
      </c>
      <c r="D889" s="5">
        <f t="shared" si="3"/>
        <v>0</v>
      </c>
    </row>
    <row r="890" spans="2:4">
      <c r="B890" s="5">
        <f>SUMIF(Pagamenti!E$2:E1240,A890,Pagamenti!D$2:D1240)</f>
        <v>0</v>
      </c>
      <c r="C890" s="17">
        <f>IFERROR(VLOOKUP(A890,'Codici ATECO 2022'!A$2:C1240,3),0)</f>
        <v>0</v>
      </c>
      <c r="D890" s="5">
        <f t="shared" si="3"/>
        <v>0</v>
      </c>
    </row>
    <row r="891" spans="2:4">
      <c r="B891" s="5">
        <f>SUMIF(Pagamenti!E$2:E1240,A891,Pagamenti!D$2:D1240)</f>
        <v>0</v>
      </c>
      <c r="C891" s="17">
        <f>IFERROR(VLOOKUP(A891,'Codici ATECO 2022'!A$2:C1240,3),0)</f>
        <v>0</v>
      </c>
      <c r="D891" s="5">
        <f t="shared" si="3"/>
        <v>0</v>
      </c>
    </row>
    <row r="892" spans="2:4">
      <c r="B892" s="5">
        <f>SUMIF(Pagamenti!E$2:E1240,A892,Pagamenti!D$2:D1240)</f>
        <v>0</v>
      </c>
      <c r="C892" s="17">
        <f>IFERROR(VLOOKUP(A892,'Codici ATECO 2022'!A$2:C1240,3),0)</f>
        <v>0</v>
      </c>
      <c r="D892" s="5">
        <f t="shared" si="3"/>
        <v>0</v>
      </c>
    </row>
    <row r="893" spans="2:4">
      <c r="B893" s="5">
        <f>SUMIF(Pagamenti!E$2:E1240,A893,Pagamenti!D$2:D1240)</f>
        <v>0</v>
      </c>
      <c r="C893" s="17">
        <f>IFERROR(VLOOKUP(A893,'Codici ATECO 2022'!A$2:C1240,3),0)</f>
        <v>0</v>
      </c>
      <c r="D893" s="5">
        <f t="shared" si="3"/>
        <v>0</v>
      </c>
    </row>
    <row r="894" spans="2:4">
      <c r="B894" s="5">
        <f>SUMIF(Pagamenti!E$2:E1240,A894,Pagamenti!D$2:D1240)</f>
        <v>0</v>
      </c>
      <c r="C894" s="17">
        <f>IFERROR(VLOOKUP(A894,'Codici ATECO 2022'!A$2:C1240,3),0)</f>
        <v>0</v>
      </c>
      <c r="D894" s="5">
        <f t="shared" si="3"/>
        <v>0</v>
      </c>
    </row>
    <row r="895" spans="2:4">
      <c r="B895" s="5">
        <f>SUMIF(Pagamenti!E$2:E1240,A895,Pagamenti!D$2:D1240)</f>
        <v>0</v>
      </c>
      <c r="C895" s="17">
        <f>IFERROR(VLOOKUP(A895,'Codici ATECO 2022'!A$2:C1240,3),0)</f>
        <v>0</v>
      </c>
      <c r="D895" s="5">
        <f t="shared" si="3"/>
        <v>0</v>
      </c>
    </row>
    <row r="896" spans="2:4">
      <c r="B896" s="5">
        <f>SUMIF(Pagamenti!E$2:E1240,A896,Pagamenti!D$2:D1240)</f>
        <v>0</v>
      </c>
      <c r="C896" s="17">
        <f>IFERROR(VLOOKUP(A896,'Codici ATECO 2022'!A$2:C1240,3),0)</f>
        <v>0</v>
      </c>
      <c r="D896" s="5">
        <f t="shared" si="3"/>
        <v>0</v>
      </c>
    </row>
    <row r="897" spans="2:4">
      <c r="B897" s="5">
        <f>SUMIF(Pagamenti!E$2:E1240,A897,Pagamenti!D$2:D1240)</f>
        <v>0</v>
      </c>
      <c r="C897" s="17">
        <f>IFERROR(VLOOKUP(A897,'Codici ATECO 2022'!A$2:C1240,3),0)</f>
        <v>0</v>
      </c>
      <c r="D897" s="5">
        <f t="shared" si="3"/>
        <v>0</v>
      </c>
    </row>
    <row r="898" spans="2:4">
      <c r="B898" s="5">
        <f>SUMIF(Pagamenti!E$2:E1240,A898,Pagamenti!D$2:D1240)</f>
        <v>0</v>
      </c>
      <c r="C898" s="17">
        <f>IFERROR(VLOOKUP(A898,'Codici ATECO 2022'!A$2:C1240,3),0)</f>
        <v>0</v>
      </c>
      <c r="D898" s="5">
        <f t="shared" si="3"/>
        <v>0</v>
      </c>
    </row>
    <row r="899" spans="2:4">
      <c r="B899" s="5">
        <f>SUMIF(Pagamenti!E$2:E1240,A899,Pagamenti!D$2:D1240)</f>
        <v>0</v>
      </c>
      <c r="C899" s="17">
        <f>IFERROR(VLOOKUP(A899,'Codici ATECO 2022'!A$2:C1240,3),0)</f>
        <v>0</v>
      </c>
      <c r="D899" s="5">
        <f t="shared" si="3"/>
        <v>0</v>
      </c>
    </row>
    <row r="900" spans="2:4">
      <c r="B900" s="5">
        <f>SUMIF(Pagamenti!E$2:E1240,A900,Pagamenti!D$2:D1240)</f>
        <v>0</v>
      </c>
      <c r="C900" s="17">
        <f>IFERROR(VLOOKUP(A900,'Codici ATECO 2022'!A$2:C1240,3),0)</f>
        <v>0</v>
      </c>
      <c r="D900" s="5">
        <f t="shared" si="3"/>
        <v>0</v>
      </c>
    </row>
    <row r="901" spans="2:4">
      <c r="B901" s="5">
        <f>SUMIF(Pagamenti!E$2:E1240,A901,Pagamenti!D$2:D1240)</f>
        <v>0</v>
      </c>
      <c r="C901" s="17">
        <f>IFERROR(VLOOKUP(A901,'Codici ATECO 2022'!A$2:C1240,3),0)</f>
        <v>0</v>
      </c>
      <c r="D901" s="5">
        <f t="shared" si="3"/>
        <v>0</v>
      </c>
    </row>
    <row r="902" spans="2:4">
      <c r="B902" s="5">
        <f>SUMIF(Pagamenti!E$2:E1240,A902,Pagamenti!D$2:D1240)</f>
        <v>0</v>
      </c>
      <c r="C902" s="17">
        <f>IFERROR(VLOOKUP(A902,'Codici ATECO 2022'!A$2:C1240,3),0)</f>
        <v>0</v>
      </c>
      <c r="D902" s="5">
        <f t="shared" si="3"/>
        <v>0</v>
      </c>
    </row>
    <row r="903" spans="2:4">
      <c r="B903" s="5">
        <f>SUMIF(Pagamenti!E$2:E1240,A903,Pagamenti!D$2:D1240)</f>
        <v>0</v>
      </c>
      <c r="C903" s="17">
        <f>IFERROR(VLOOKUP(A903,'Codici ATECO 2022'!A$2:C1240,3),0)</f>
        <v>0</v>
      </c>
      <c r="D903" s="5">
        <f t="shared" si="3"/>
        <v>0</v>
      </c>
    </row>
    <row r="904" spans="2:4">
      <c r="B904" s="5">
        <f>SUMIF(Pagamenti!E$2:E1240,A904,Pagamenti!D$2:D1240)</f>
        <v>0</v>
      </c>
      <c r="C904" s="17">
        <f>IFERROR(VLOOKUP(A904,'Codici ATECO 2022'!A$2:C1240,3),0)</f>
        <v>0</v>
      </c>
      <c r="D904" s="5">
        <f t="shared" si="3"/>
        <v>0</v>
      </c>
    </row>
    <row r="905" spans="2:4">
      <c r="B905" s="5">
        <f>SUMIF(Pagamenti!E$2:E1240,A905,Pagamenti!D$2:D1240)</f>
        <v>0</v>
      </c>
      <c r="C905" s="17">
        <f>IFERROR(VLOOKUP(A905,'Codici ATECO 2022'!A$2:C1240,3),0)</f>
        <v>0</v>
      </c>
      <c r="D905" s="5">
        <f t="shared" si="3"/>
        <v>0</v>
      </c>
    </row>
    <row r="906" spans="2:4">
      <c r="B906" s="5">
        <f>SUMIF(Pagamenti!E$2:E1240,A906,Pagamenti!D$2:D1240)</f>
        <v>0</v>
      </c>
      <c r="C906" s="17">
        <f>IFERROR(VLOOKUP(A906,'Codici ATECO 2022'!A$2:C1240,3),0)</f>
        <v>0</v>
      </c>
      <c r="D906" s="5">
        <f t="shared" si="3"/>
        <v>0</v>
      </c>
    </row>
    <row r="907" spans="2:4">
      <c r="B907" s="5">
        <f>SUMIF(Pagamenti!E$2:E1240,A907,Pagamenti!D$2:D1240)</f>
        <v>0</v>
      </c>
      <c r="C907" s="17">
        <f>IFERROR(VLOOKUP(A907,'Codici ATECO 2022'!A$2:C1240,3),0)</f>
        <v>0</v>
      </c>
      <c r="D907" s="5">
        <f t="shared" si="3"/>
        <v>0</v>
      </c>
    </row>
    <row r="908" spans="2:4">
      <c r="B908" s="5">
        <f>SUMIF(Pagamenti!E$2:E1240,A908,Pagamenti!D$2:D1240)</f>
        <v>0</v>
      </c>
      <c r="C908" s="17">
        <f>IFERROR(VLOOKUP(A908,'Codici ATECO 2022'!A$2:C1240,3),0)</f>
        <v>0</v>
      </c>
      <c r="D908" s="5">
        <f t="shared" si="3"/>
        <v>0</v>
      </c>
    </row>
    <row r="909" spans="2:4">
      <c r="B909" s="5">
        <f>SUMIF(Pagamenti!E$2:E1240,A909,Pagamenti!D$2:D1240)</f>
        <v>0</v>
      </c>
      <c r="C909" s="17">
        <f>IFERROR(VLOOKUP(A909,'Codici ATECO 2022'!A$2:C1240,3),0)</f>
        <v>0</v>
      </c>
      <c r="D909" s="5">
        <f t="shared" si="3"/>
        <v>0</v>
      </c>
    </row>
    <row r="910" spans="2:4">
      <c r="B910" s="5">
        <f>SUMIF(Pagamenti!E$2:E1240,A910,Pagamenti!D$2:D1240)</f>
        <v>0</v>
      </c>
      <c r="C910" s="17">
        <f>IFERROR(VLOOKUP(A910,'Codici ATECO 2022'!A$2:C1240,3),0)</f>
        <v>0</v>
      </c>
      <c r="D910" s="5">
        <f t="shared" si="3"/>
        <v>0</v>
      </c>
    </row>
    <row r="911" spans="2:4">
      <c r="B911" s="5">
        <f>SUMIF(Pagamenti!E$2:E1240,A911,Pagamenti!D$2:D1240)</f>
        <v>0</v>
      </c>
      <c r="C911" s="17">
        <f>IFERROR(VLOOKUP(A911,'Codici ATECO 2022'!A$2:C1240,3),0)</f>
        <v>0</v>
      </c>
      <c r="D911" s="5">
        <f t="shared" si="3"/>
        <v>0</v>
      </c>
    </row>
    <row r="912" spans="2:4">
      <c r="B912" s="5">
        <f>SUMIF(Pagamenti!E$2:E1240,A912,Pagamenti!D$2:D1240)</f>
        <v>0</v>
      </c>
      <c r="C912" s="17">
        <f>IFERROR(VLOOKUP(A912,'Codici ATECO 2022'!A$2:C1240,3),0)</f>
        <v>0</v>
      </c>
      <c r="D912" s="5">
        <f t="shared" si="3"/>
        <v>0</v>
      </c>
    </row>
    <row r="913" spans="2:4">
      <c r="B913" s="5">
        <f>SUMIF(Pagamenti!E$2:E1240,A913,Pagamenti!D$2:D1240)</f>
        <v>0</v>
      </c>
      <c r="C913" s="17">
        <f>IFERROR(VLOOKUP(A913,'Codici ATECO 2022'!A$2:C1240,3),0)</f>
        <v>0</v>
      </c>
      <c r="D913" s="5">
        <f t="shared" si="3"/>
        <v>0</v>
      </c>
    </row>
    <row r="914" spans="2:4">
      <c r="B914" s="5">
        <f>SUMIF(Pagamenti!E$2:E1240,A914,Pagamenti!D$2:D1240)</f>
        <v>0</v>
      </c>
      <c r="C914" s="17">
        <f>IFERROR(VLOOKUP(A914,'Codici ATECO 2022'!A$2:C1240,3),0)</f>
        <v>0</v>
      </c>
      <c r="D914" s="5">
        <f t="shared" si="3"/>
        <v>0</v>
      </c>
    </row>
    <row r="915" spans="2:4">
      <c r="B915" s="5">
        <f>SUMIF(Pagamenti!E$2:E1240,A915,Pagamenti!D$2:D1240)</f>
        <v>0</v>
      </c>
      <c r="C915" s="17">
        <f>IFERROR(VLOOKUP(A915,'Codici ATECO 2022'!A$2:C1240,3),0)</f>
        <v>0</v>
      </c>
      <c r="D915" s="5">
        <f t="shared" si="3"/>
        <v>0</v>
      </c>
    </row>
    <row r="916" spans="2:4">
      <c r="B916" s="5">
        <f>SUMIF(Pagamenti!E$2:E1240,A916,Pagamenti!D$2:D1240)</f>
        <v>0</v>
      </c>
      <c r="C916" s="17">
        <f>IFERROR(VLOOKUP(A916,'Codici ATECO 2022'!A$2:C1240,3),0)</f>
        <v>0</v>
      </c>
      <c r="D916" s="5">
        <f t="shared" si="3"/>
        <v>0</v>
      </c>
    </row>
    <row r="917" spans="2:4">
      <c r="B917" s="5">
        <f>SUMIF(Pagamenti!E$2:E1240,A917,Pagamenti!D$2:D1240)</f>
        <v>0</v>
      </c>
      <c r="C917" s="17">
        <f>IFERROR(VLOOKUP(A917,'Codici ATECO 2022'!A$2:C1240,3),0)</f>
        <v>0</v>
      </c>
      <c r="D917" s="5">
        <f t="shared" si="3"/>
        <v>0</v>
      </c>
    </row>
    <row r="918" spans="2:4">
      <c r="B918" s="5">
        <f>SUMIF(Pagamenti!E$2:E1240,A918,Pagamenti!D$2:D1240)</f>
        <v>0</v>
      </c>
      <c r="C918" s="17">
        <f>IFERROR(VLOOKUP(A918,'Codici ATECO 2022'!A$2:C1240,3),0)</f>
        <v>0</v>
      </c>
      <c r="D918" s="5">
        <f t="shared" si="3"/>
        <v>0</v>
      </c>
    </row>
    <row r="919" spans="2:4">
      <c r="B919" s="5">
        <f>SUMIF(Pagamenti!E$2:E1240,A919,Pagamenti!D$2:D1240)</f>
        <v>0</v>
      </c>
      <c r="C919" s="17">
        <f>IFERROR(VLOOKUP(A919,'Codici ATECO 2022'!A$2:C1240,3),0)</f>
        <v>0</v>
      </c>
      <c r="D919" s="5">
        <f t="shared" si="3"/>
        <v>0</v>
      </c>
    </row>
    <row r="920" spans="2:4">
      <c r="B920" s="5">
        <f>SUMIF(Pagamenti!E$2:E1240,A920,Pagamenti!D$2:D1240)</f>
        <v>0</v>
      </c>
      <c r="C920" s="17">
        <f>IFERROR(VLOOKUP(A920,'Codici ATECO 2022'!A$2:C1240,3),0)</f>
        <v>0</v>
      </c>
      <c r="D920" s="5">
        <f t="shared" si="3"/>
        <v>0</v>
      </c>
    </row>
    <row r="921" spans="2:4">
      <c r="B921" s="5">
        <f>SUMIF(Pagamenti!E$2:E1240,A921,Pagamenti!D$2:D1240)</f>
        <v>0</v>
      </c>
      <c r="C921" s="17">
        <f>IFERROR(VLOOKUP(A921,'Codici ATECO 2022'!A$2:C1240,3),0)</f>
        <v>0</v>
      </c>
      <c r="D921" s="5">
        <f t="shared" si="3"/>
        <v>0</v>
      </c>
    </row>
    <row r="922" spans="2:4">
      <c r="B922" s="5">
        <f>SUMIF(Pagamenti!E$2:E1240,A922,Pagamenti!D$2:D1240)</f>
        <v>0</v>
      </c>
      <c r="C922" s="17">
        <f>IFERROR(VLOOKUP(A922,'Codici ATECO 2022'!A$2:C1240,3),0)</f>
        <v>0</v>
      </c>
      <c r="D922" s="5">
        <f t="shared" si="3"/>
        <v>0</v>
      </c>
    </row>
    <row r="923" spans="2:4">
      <c r="B923" s="5">
        <f>SUMIF(Pagamenti!E$2:E1240,A923,Pagamenti!D$2:D1240)</f>
        <v>0</v>
      </c>
      <c r="C923" s="17">
        <f>IFERROR(VLOOKUP(A923,'Codici ATECO 2022'!A$2:C1240,3),0)</f>
        <v>0</v>
      </c>
      <c r="D923" s="5">
        <f t="shared" si="3"/>
        <v>0</v>
      </c>
    </row>
    <row r="924" spans="2:4">
      <c r="B924" s="5">
        <f>SUMIF(Pagamenti!E$2:E1240,A924,Pagamenti!D$2:D1240)</f>
        <v>0</v>
      </c>
      <c r="C924" s="17">
        <f>IFERROR(VLOOKUP(A924,'Codici ATECO 2022'!A$2:C1240,3),0)</f>
        <v>0</v>
      </c>
      <c r="D924" s="5">
        <f t="shared" si="3"/>
        <v>0</v>
      </c>
    </row>
    <row r="925" spans="2:4">
      <c r="B925" s="5">
        <f>SUMIF(Pagamenti!E$2:E1240,A925,Pagamenti!D$2:D1240)</f>
        <v>0</v>
      </c>
      <c r="C925" s="17">
        <f>IFERROR(VLOOKUP(A925,'Codici ATECO 2022'!A$2:C1240,3),0)</f>
        <v>0</v>
      </c>
      <c r="D925" s="5">
        <f t="shared" si="3"/>
        <v>0</v>
      </c>
    </row>
    <row r="926" spans="2:4">
      <c r="B926" s="5">
        <f>SUMIF(Pagamenti!E$2:E1240,A926,Pagamenti!D$2:D1240)</f>
        <v>0</v>
      </c>
      <c r="C926" s="17">
        <f>IFERROR(VLOOKUP(A926,'Codici ATECO 2022'!A$2:C1240,3),0)</f>
        <v>0</v>
      </c>
      <c r="D926" s="5">
        <f t="shared" si="3"/>
        <v>0</v>
      </c>
    </row>
    <row r="927" spans="2:4">
      <c r="B927" s="5">
        <f>SUMIF(Pagamenti!E$2:E1240,A927,Pagamenti!D$2:D1240)</f>
        <v>0</v>
      </c>
      <c r="C927" s="17">
        <f>IFERROR(VLOOKUP(A927,'Codici ATECO 2022'!A$2:C1240,3),0)</f>
        <v>0</v>
      </c>
      <c r="D927" s="5">
        <f t="shared" si="3"/>
        <v>0</v>
      </c>
    </row>
    <row r="928" spans="2:4">
      <c r="B928" s="5">
        <f>SUMIF(Pagamenti!E$2:E1240,A928,Pagamenti!D$2:D1240)</f>
        <v>0</v>
      </c>
      <c r="C928" s="17">
        <f>IFERROR(VLOOKUP(A928,'Codici ATECO 2022'!A$2:C1240,3),0)</f>
        <v>0</v>
      </c>
      <c r="D928" s="5">
        <f t="shared" si="3"/>
        <v>0</v>
      </c>
    </row>
    <row r="929" spans="2:4">
      <c r="B929" s="5">
        <f>SUMIF(Pagamenti!E$2:E1240,A929,Pagamenti!D$2:D1240)</f>
        <v>0</v>
      </c>
      <c r="C929" s="17">
        <f>IFERROR(VLOOKUP(A929,'Codici ATECO 2022'!A$2:C1240,3),0)</f>
        <v>0</v>
      </c>
      <c r="D929" s="5">
        <f t="shared" si="3"/>
        <v>0</v>
      </c>
    </row>
    <row r="930" spans="2:4">
      <c r="B930" s="5">
        <f>SUMIF(Pagamenti!E$2:E1240,A930,Pagamenti!D$2:D1240)</f>
        <v>0</v>
      </c>
      <c r="C930" s="17">
        <f>IFERROR(VLOOKUP(A930,'Codici ATECO 2022'!A$2:C1240,3),0)</f>
        <v>0</v>
      </c>
      <c r="D930" s="5">
        <f t="shared" si="3"/>
        <v>0</v>
      </c>
    </row>
    <row r="931" spans="2:4">
      <c r="B931" s="5">
        <f>SUMIF(Pagamenti!E$2:E1240,A931,Pagamenti!D$2:D1240)</f>
        <v>0</v>
      </c>
      <c r="C931" s="17">
        <f>IFERROR(VLOOKUP(A931,'Codici ATECO 2022'!A$2:C1240,3),0)</f>
        <v>0</v>
      </c>
      <c r="D931" s="5">
        <f t="shared" si="3"/>
        <v>0</v>
      </c>
    </row>
    <row r="932" spans="2:4">
      <c r="B932" s="5">
        <f>SUMIF(Pagamenti!E$2:E1240,A932,Pagamenti!D$2:D1240)</f>
        <v>0</v>
      </c>
      <c r="C932" s="17">
        <f>IFERROR(VLOOKUP(A932,'Codici ATECO 2022'!A$2:C1240,3),0)</f>
        <v>0</v>
      </c>
      <c r="D932" s="5">
        <f t="shared" si="3"/>
        <v>0</v>
      </c>
    </row>
    <row r="933" spans="2:4">
      <c r="B933" s="5">
        <f>SUMIF(Pagamenti!E$2:E1240,A933,Pagamenti!D$2:D1240)</f>
        <v>0</v>
      </c>
      <c r="C933" s="17">
        <f>IFERROR(VLOOKUP(A933,'Codici ATECO 2022'!A$2:C1240,3),0)</f>
        <v>0</v>
      </c>
      <c r="D933" s="5">
        <f t="shared" si="3"/>
        <v>0</v>
      </c>
    </row>
    <row r="934" spans="2:4">
      <c r="B934" s="5">
        <f>SUMIF(Pagamenti!E$2:E1240,A934,Pagamenti!D$2:D1240)</f>
        <v>0</v>
      </c>
      <c r="C934" s="17">
        <f>IFERROR(VLOOKUP(A934,'Codici ATECO 2022'!A$2:C1240,3),0)</f>
        <v>0</v>
      </c>
      <c r="D934" s="5">
        <f t="shared" si="3"/>
        <v>0</v>
      </c>
    </row>
    <row r="935" spans="2:4">
      <c r="B935" s="5">
        <f>SUMIF(Pagamenti!E$2:E1240,A935,Pagamenti!D$2:D1240)</f>
        <v>0</v>
      </c>
      <c r="C935" s="17">
        <f>IFERROR(VLOOKUP(A935,'Codici ATECO 2022'!A$2:C1240,3),0)</f>
        <v>0</v>
      </c>
      <c r="D935" s="5">
        <f t="shared" si="3"/>
        <v>0</v>
      </c>
    </row>
    <row r="936" spans="2:4">
      <c r="B936" s="5">
        <f>SUMIF(Pagamenti!E$2:E1240,A936,Pagamenti!D$2:D1240)</f>
        <v>0</v>
      </c>
      <c r="C936" s="17">
        <f>IFERROR(VLOOKUP(A936,'Codici ATECO 2022'!A$2:C1240,3),0)</f>
        <v>0</v>
      </c>
      <c r="D936" s="5">
        <f t="shared" si="3"/>
        <v>0</v>
      </c>
    </row>
    <row r="937" spans="2:4">
      <c r="B937" s="5">
        <f>SUMIF(Pagamenti!E$2:E1240,A937,Pagamenti!D$2:D1240)</f>
        <v>0</v>
      </c>
      <c r="C937" s="17">
        <f>IFERROR(VLOOKUP(A937,'Codici ATECO 2022'!A$2:C1240,3),0)</f>
        <v>0</v>
      </c>
      <c r="D937" s="5">
        <f t="shared" si="3"/>
        <v>0</v>
      </c>
    </row>
    <row r="938" spans="2:4">
      <c r="B938" s="5">
        <f>SUMIF(Pagamenti!E$2:E1240,A938,Pagamenti!D$2:D1240)</f>
        <v>0</v>
      </c>
      <c r="C938" s="17">
        <f>IFERROR(VLOOKUP(A938,'Codici ATECO 2022'!A$2:C1240,3),0)</f>
        <v>0</v>
      </c>
      <c r="D938" s="5">
        <f t="shared" si="3"/>
        <v>0</v>
      </c>
    </row>
    <row r="939" spans="2:4">
      <c r="B939" s="5">
        <f>SUMIF(Pagamenti!E$2:E1240,A939,Pagamenti!D$2:D1240)</f>
        <v>0</v>
      </c>
      <c r="C939" s="17">
        <f>IFERROR(VLOOKUP(A939,'Codici ATECO 2022'!A$2:C1240,3),0)</f>
        <v>0</v>
      </c>
      <c r="D939" s="5">
        <f t="shared" si="3"/>
        <v>0</v>
      </c>
    </row>
    <row r="940" spans="2:4">
      <c r="B940" s="5">
        <f>SUMIF(Pagamenti!E$2:E1240,A940,Pagamenti!D$2:D1240)</f>
        <v>0</v>
      </c>
      <c r="C940" s="17">
        <f>IFERROR(VLOOKUP(A940,'Codici ATECO 2022'!A$2:C1240,3),0)</f>
        <v>0</v>
      </c>
      <c r="D940" s="5">
        <f t="shared" si="3"/>
        <v>0</v>
      </c>
    </row>
    <row r="941" spans="2:4">
      <c r="B941" s="5">
        <f>SUMIF(Pagamenti!E$2:E1240,A941,Pagamenti!D$2:D1240)</f>
        <v>0</v>
      </c>
      <c r="C941" s="17">
        <f>IFERROR(VLOOKUP(A941,'Codici ATECO 2022'!A$2:C1240,3),0)</f>
        <v>0</v>
      </c>
      <c r="D941" s="5">
        <f t="shared" si="3"/>
        <v>0</v>
      </c>
    </row>
    <row r="942" spans="2:4">
      <c r="B942" s="5">
        <f>SUMIF(Pagamenti!E$2:E1240,A942,Pagamenti!D$2:D1240)</f>
        <v>0</v>
      </c>
      <c r="C942" s="17">
        <f>IFERROR(VLOOKUP(A942,'Codici ATECO 2022'!A$2:C1240,3),0)</f>
        <v>0</v>
      </c>
      <c r="D942" s="5">
        <f t="shared" si="3"/>
        <v>0</v>
      </c>
    </row>
    <row r="943" spans="2:4">
      <c r="B943" s="5">
        <f>SUMIF(Pagamenti!E$2:E1240,A943,Pagamenti!D$2:D1240)</f>
        <v>0</v>
      </c>
      <c r="C943" s="17">
        <f>IFERROR(VLOOKUP(A943,'Codici ATECO 2022'!A$2:C1240,3),0)</f>
        <v>0</v>
      </c>
      <c r="D943" s="5">
        <f t="shared" si="3"/>
        <v>0</v>
      </c>
    </row>
    <row r="944" spans="2:4">
      <c r="B944" s="5">
        <f>SUMIF(Pagamenti!E$2:E1240,A944,Pagamenti!D$2:D1240)</f>
        <v>0</v>
      </c>
      <c r="C944" s="17">
        <f>IFERROR(VLOOKUP(A944,'Codici ATECO 2022'!A$2:C1240,3),0)</f>
        <v>0</v>
      </c>
      <c r="D944" s="5">
        <f t="shared" si="3"/>
        <v>0</v>
      </c>
    </row>
    <row r="945" spans="2:4">
      <c r="B945" s="5">
        <f>SUMIF(Pagamenti!E$2:E1240,A945,Pagamenti!D$2:D1240)</f>
        <v>0</v>
      </c>
      <c r="C945" s="17">
        <f>IFERROR(VLOOKUP(A945,'Codici ATECO 2022'!A$2:C1240,3),0)</f>
        <v>0</v>
      </c>
      <c r="D945" s="5">
        <f t="shared" si="3"/>
        <v>0</v>
      </c>
    </row>
    <row r="946" spans="2:4">
      <c r="B946" s="5">
        <f>SUMIF(Pagamenti!E$2:E1240,A946,Pagamenti!D$2:D1240)</f>
        <v>0</v>
      </c>
      <c r="C946" s="17">
        <f>IFERROR(VLOOKUP(A946,'Codici ATECO 2022'!A$2:C1240,3),0)</f>
        <v>0</v>
      </c>
      <c r="D946" s="5">
        <f t="shared" si="3"/>
        <v>0</v>
      </c>
    </row>
    <row r="947" spans="2:4">
      <c r="B947" s="5">
        <f>SUMIF(Pagamenti!E$2:E1240,A947,Pagamenti!D$2:D1240)</f>
        <v>0</v>
      </c>
      <c r="C947" s="17">
        <f>IFERROR(VLOOKUP(A947,'Codici ATECO 2022'!A$2:C1240,3),0)</f>
        <v>0</v>
      </c>
      <c r="D947" s="5">
        <f t="shared" si="3"/>
        <v>0</v>
      </c>
    </row>
    <row r="948" spans="2:4">
      <c r="B948" s="5">
        <f>SUMIF(Pagamenti!E$2:E1240,A948,Pagamenti!D$2:D1240)</f>
        <v>0</v>
      </c>
      <c r="C948" s="17">
        <f>IFERROR(VLOOKUP(A948,'Codici ATECO 2022'!A$2:C1240,3),0)</f>
        <v>0</v>
      </c>
      <c r="D948" s="5">
        <f t="shared" si="3"/>
        <v>0</v>
      </c>
    </row>
    <row r="949" spans="2:4">
      <c r="B949" s="5">
        <f>SUMIF(Pagamenti!E$2:E1240,A949,Pagamenti!D$2:D1240)</f>
        <v>0</v>
      </c>
      <c r="C949" s="17">
        <f>IFERROR(VLOOKUP(A949,'Codici ATECO 2022'!A$2:C1240,3),0)</f>
        <v>0</v>
      </c>
      <c r="D949" s="5">
        <f t="shared" si="3"/>
        <v>0</v>
      </c>
    </row>
    <row r="950" spans="2:4">
      <c r="B950" s="5">
        <f>SUMIF(Pagamenti!E$2:E1240,A950,Pagamenti!D$2:D1240)</f>
        <v>0</v>
      </c>
      <c r="C950" s="17">
        <f>IFERROR(VLOOKUP(A950,'Codici ATECO 2022'!A$2:C1240,3),0)</f>
        <v>0</v>
      </c>
      <c r="D950" s="5">
        <f t="shared" si="3"/>
        <v>0</v>
      </c>
    </row>
    <row r="951" spans="2:4">
      <c r="B951" s="5">
        <f>SUMIF(Pagamenti!E$2:E1240,A951,Pagamenti!D$2:D1240)</f>
        <v>0</v>
      </c>
      <c r="C951" s="17">
        <f>IFERROR(VLOOKUP(A951,'Codici ATECO 2022'!A$2:C1240,3),0)</f>
        <v>0</v>
      </c>
      <c r="D951" s="5">
        <f t="shared" si="3"/>
        <v>0</v>
      </c>
    </row>
    <row r="952" spans="2:4">
      <c r="B952" s="5">
        <f>SUMIF(Pagamenti!E$2:E1240,A952,Pagamenti!D$2:D1240)</f>
        <v>0</v>
      </c>
      <c r="C952" s="17">
        <f>IFERROR(VLOOKUP(A952,'Codici ATECO 2022'!A$2:C1240,3),0)</f>
        <v>0</v>
      </c>
      <c r="D952" s="5">
        <f t="shared" si="3"/>
        <v>0</v>
      </c>
    </row>
    <row r="953" spans="2:4">
      <c r="B953" s="5">
        <f>SUMIF(Pagamenti!E$2:E1240,A953,Pagamenti!D$2:D1240)</f>
        <v>0</v>
      </c>
      <c r="C953" s="17">
        <f>IFERROR(VLOOKUP(A953,'Codici ATECO 2022'!A$2:C1240,3),0)</f>
        <v>0</v>
      </c>
      <c r="D953" s="5">
        <f t="shared" si="3"/>
        <v>0</v>
      </c>
    </row>
    <row r="954" spans="2:4">
      <c r="B954" s="5">
        <f>SUMIF(Pagamenti!E$2:E1240,A954,Pagamenti!D$2:D1240)</f>
        <v>0</v>
      </c>
      <c r="C954" s="17">
        <f>IFERROR(VLOOKUP(A954,'Codici ATECO 2022'!A$2:C1240,3),0)</f>
        <v>0</v>
      </c>
      <c r="D954" s="5">
        <f t="shared" si="3"/>
        <v>0</v>
      </c>
    </row>
    <row r="955" spans="2:4">
      <c r="B955" s="5">
        <f>SUMIF(Pagamenti!E$2:E1240,A955,Pagamenti!D$2:D1240)</f>
        <v>0</v>
      </c>
      <c r="C955" s="17">
        <f>IFERROR(VLOOKUP(A955,'Codici ATECO 2022'!A$2:C1240,3),0)</f>
        <v>0</v>
      </c>
      <c r="D955" s="5">
        <f t="shared" si="3"/>
        <v>0</v>
      </c>
    </row>
    <row r="956" spans="2:4">
      <c r="B956" s="5">
        <f>SUMIF(Pagamenti!E$2:E1240,A956,Pagamenti!D$2:D1240)</f>
        <v>0</v>
      </c>
      <c r="C956" s="17">
        <f>IFERROR(VLOOKUP(A956,'Codici ATECO 2022'!A$2:C1240,3),0)</f>
        <v>0</v>
      </c>
      <c r="D956" s="5">
        <f t="shared" si="3"/>
        <v>0</v>
      </c>
    </row>
    <row r="957" spans="2:4">
      <c r="B957" s="5">
        <f>SUMIF(Pagamenti!E$2:E1240,A957,Pagamenti!D$2:D1240)</f>
        <v>0</v>
      </c>
      <c r="C957" s="17">
        <f>IFERROR(VLOOKUP(A957,'Codici ATECO 2022'!A$2:C1240,3),0)</f>
        <v>0</v>
      </c>
      <c r="D957" s="5">
        <f t="shared" si="3"/>
        <v>0</v>
      </c>
    </row>
    <row r="958" spans="2:4">
      <c r="B958" s="5">
        <f>SUMIF(Pagamenti!E$2:E1240,A958,Pagamenti!D$2:D1240)</f>
        <v>0</v>
      </c>
      <c r="C958" s="17">
        <f>IFERROR(VLOOKUP(A958,'Codici ATECO 2022'!A$2:C1240,3),0)</f>
        <v>0</v>
      </c>
      <c r="D958" s="5">
        <f t="shared" si="3"/>
        <v>0</v>
      </c>
    </row>
    <row r="959" spans="2:4">
      <c r="B959" s="5">
        <f>SUMIF(Pagamenti!E$2:E1240,A959,Pagamenti!D$2:D1240)</f>
        <v>0</v>
      </c>
      <c r="C959" s="17">
        <f>IFERROR(VLOOKUP(A959,'Codici ATECO 2022'!A$2:C1240,3),0)</f>
        <v>0</v>
      </c>
      <c r="D959" s="5">
        <f t="shared" si="3"/>
        <v>0</v>
      </c>
    </row>
    <row r="960" spans="2:4">
      <c r="B960" s="5">
        <f>SUMIF(Pagamenti!E$2:E1240,A960,Pagamenti!D$2:D1240)</f>
        <v>0</v>
      </c>
      <c r="C960" s="17">
        <f>IFERROR(VLOOKUP(A960,'Codici ATECO 2022'!A$2:C1240,3),0)</f>
        <v>0</v>
      </c>
      <c r="D960" s="5">
        <f t="shared" si="3"/>
        <v>0</v>
      </c>
    </row>
    <row r="961" spans="2:4">
      <c r="B961" s="5">
        <f>SUMIF(Pagamenti!E$2:E1240,A961,Pagamenti!D$2:D1240)</f>
        <v>0</v>
      </c>
      <c r="C961" s="17">
        <f>IFERROR(VLOOKUP(A961,'Codici ATECO 2022'!A$2:C1240,3),0)</f>
        <v>0</v>
      </c>
      <c r="D961" s="5">
        <f t="shared" si="3"/>
        <v>0</v>
      </c>
    </row>
    <row r="962" spans="2:4">
      <c r="B962" s="5">
        <f>SUMIF(Pagamenti!E$2:E1240,A962,Pagamenti!D$2:D1240)</f>
        <v>0</v>
      </c>
      <c r="C962" s="17">
        <f>IFERROR(VLOOKUP(A962,'Codici ATECO 2022'!A$2:C1240,3),0)</f>
        <v>0</v>
      </c>
      <c r="D962" s="5">
        <f t="shared" si="3"/>
        <v>0</v>
      </c>
    </row>
    <row r="963" spans="2:4">
      <c r="B963" s="5">
        <f>SUMIF(Pagamenti!E$2:E1240,A963,Pagamenti!D$2:D1240)</f>
        <v>0</v>
      </c>
      <c r="C963" s="17">
        <f>IFERROR(VLOOKUP(A963,'Codici ATECO 2022'!A$2:C1240,3),0)</f>
        <v>0</v>
      </c>
      <c r="D963" s="5">
        <f t="shared" si="3"/>
        <v>0</v>
      </c>
    </row>
    <row r="964" spans="2:4">
      <c r="B964" s="5">
        <f>SUMIF(Pagamenti!E$2:E1240,A964,Pagamenti!D$2:D1240)</f>
        <v>0</v>
      </c>
      <c r="C964" s="17">
        <f>IFERROR(VLOOKUP(A964,'Codici ATECO 2022'!A$2:C1240,3),0)</f>
        <v>0</v>
      </c>
      <c r="D964" s="5">
        <f t="shared" si="3"/>
        <v>0</v>
      </c>
    </row>
    <row r="965" spans="2:4">
      <c r="B965" s="5">
        <f>SUMIF(Pagamenti!E$2:E1240,A965,Pagamenti!D$2:D1240)</f>
        <v>0</v>
      </c>
      <c r="C965" s="17">
        <f>IFERROR(VLOOKUP(A965,'Codici ATECO 2022'!A$2:C1240,3),0)</f>
        <v>0</v>
      </c>
      <c r="D965" s="5">
        <f t="shared" si="3"/>
        <v>0</v>
      </c>
    </row>
    <row r="966" spans="2:4">
      <c r="B966" s="5">
        <f>SUMIF(Pagamenti!E$2:E1240,A966,Pagamenti!D$2:D1240)</f>
        <v>0</v>
      </c>
      <c r="C966" s="17">
        <f>IFERROR(VLOOKUP(A966,'Codici ATECO 2022'!A$2:C1240,3),0)</f>
        <v>0</v>
      </c>
      <c r="D966" s="5">
        <f t="shared" si="3"/>
        <v>0</v>
      </c>
    </row>
    <row r="967" spans="2:4">
      <c r="B967" s="5">
        <f>SUMIF(Pagamenti!E$2:E1240,A967,Pagamenti!D$2:D1240)</f>
        <v>0</v>
      </c>
      <c r="C967" s="17">
        <f>IFERROR(VLOOKUP(A967,'Codici ATECO 2022'!A$2:C1240,3),0)</f>
        <v>0</v>
      </c>
      <c r="D967" s="5">
        <f t="shared" si="3"/>
        <v>0</v>
      </c>
    </row>
    <row r="968" spans="2:4">
      <c r="B968" s="5">
        <f>SUMIF(Pagamenti!E$2:E1240,A968,Pagamenti!D$2:D1240)</f>
        <v>0</v>
      </c>
      <c r="C968" s="17">
        <f>IFERROR(VLOOKUP(A968,'Codici ATECO 2022'!A$2:C1240,3),0)</f>
        <v>0</v>
      </c>
      <c r="D968" s="5">
        <f t="shared" si="3"/>
        <v>0</v>
      </c>
    </row>
    <row r="969" spans="2:4">
      <c r="B969" s="5">
        <f>SUMIF(Pagamenti!E$2:E1240,A969,Pagamenti!D$2:D1240)</f>
        <v>0</v>
      </c>
      <c r="C969" s="17">
        <f>IFERROR(VLOOKUP(A969,'Codici ATECO 2022'!A$2:C1240,3),0)</f>
        <v>0</v>
      </c>
      <c r="D969" s="5">
        <f t="shared" si="3"/>
        <v>0</v>
      </c>
    </row>
    <row r="970" spans="2:4">
      <c r="B970" s="5">
        <f>SUMIF(Pagamenti!E$2:E1240,A970,Pagamenti!D$2:D1240)</f>
        <v>0</v>
      </c>
      <c r="C970" s="17">
        <f>IFERROR(VLOOKUP(A970,'Codici ATECO 2022'!A$2:C1240,3),0)</f>
        <v>0</v>
      </c>
      <c r="D970" s="5">
        <f t="shared" si="3"/>
        <v>0</v>
      </c>
    </row>
    <row r="971" spans="2:4">
      <c r="B971" s="5">
        <f>SUMIF(Pagamenti!E$2:E1240,A971,Pagamenti!D$2:D1240)</f>
        <v>0</v>
      </c>
      <c r="C971" s="17">
        <f>IFERROR(VLOOKUP(A971,'Codici ATECO 2022'!A$2:C1240,3),0)</f>
        <v>0</v>
      </c>
      <c r="D971" s="5">
        <f t="shared" si="3"/>
        <v>0</v>
      </c>
    </row>
    <row r="972" spans="2:4">
      <c r="B972" s="5">
        <f>SUMIF(Pagamenti!E$2:E1240,A972,Pagamenti!D$2:D1240)</f>
        <v>0</v>
      </c>
      <c r="C972" s="17">
        <f>IFERROR(VLOOKUP(A972,'Codici ATECO 2022'!A$2:C1240,3),0)</f>
        <v>0</v>
      </c>
      <c r="D972" s="5">
        <f t="shared" si="3"/>
        <v>0</v>
      </c>
    </row>
    <row r="973" spans="2:4">
      <c r="B973" s="5">
        <f>SUMIF(Pagamenti!E$2:E1240,A973,Pagamenti!D$2:D1240)</f>
        <v>0</v>
      </c>
      <c r="C973" s="17">
        <f>IFERROR(VLOOKUP(A973,'Codici ATECO 2022'!A$2:C1240,3),0)</f>
        <v>0</v>
      </c>
      <c r="D973" s="5">
        <f t="shared" si="3"/>
        <v>0</v>
      </c>
    </row>
    <row r="974" spans="2:4">
      <c r="B974" s="5">
        <f>SUMIF(Pagamenti!E$2:E1240,A974,Pagamenti!D$2:D1240)</f>
        <v>0</v>
      </c>
      <c r="C974" s="17">
        <f>IFERROR(VLOOKUP(A974,'Codici ATECO 2022'!A$2:C1240,3),0)</f>
        <v>0</v>
      </c>
      <c r="D974" s="5">
        <f t="shared" si="3"/>
        <v>0</v>
      </c>
    </row>
    <row r="975" spans="2:4">
      <c r="B975" s="5">
        <f>SUMIF(Pagamenti!E$2:E1240,A975,Pagamenti!D$2:D1240)</f>
        <v>0</v>
      </c>
      <c r="C975" s="17">
        <f>IFERROR(VLOOKUP(A975,'Codici ATECO 2022'!A$2:C1240,3),0)</f>
        <v>0</v>
      </c>
      <c r="D975" s="5">
        <f t="shared" si="3"/>
        <v>0</v>
      </c>
    </row>
    <row r="976" spans="2:4">
      <c r="B976" s="5">
        <f>SUMIF(Pagamenti!E$2:E1240,A976,Pagamenti!D$2:D1240)</f>
        <v>0</v>
      </c>
      <c r="C976" s="17">
        <f>IFERROR(VLOOKUP(A976,'Codici ATECO 2022'!A$2:C1240,3),0)</f>
        <v>0</v>
      </c>
      <c r="D976" s="5">
        <f t="shared" si="3"/>
        <v>0</v>
      </c>
    </row>
    <row r="977" spans="2:4">
      <c r="B977" s="5">
        <f>SUMIF(Pagamenti!E$2:E1240,A977,Pagamenti!D$2:D1240)</f>
        <v>0</v>
      </c>
      <c r="C977" s="17">
        <f>IFERROR(VLOOKUP(A977,'Codici ATECO 2022'!A$2:C1240,3),0)</f>
        <v>0</v>
      </c>
      <c r="D977" s="5">
        <f t="shared" si="3"/>
        <v>0</v>
      </c>
    </row>
    <row r="978" spans="2:4">
      <c r="B978" s="5">
        <f>SUMIF(Pagamenti!E$2:E1240,A978,Pagamenti!D$2:D1240)</f>
        <v>0</v>
      </c>
      <c r="C978" s="17">
        <f>IFERROR(VLOOKUP(A978,'Codici ATECO 2022'!A$2:C1240,3),0)</f>
        <v>0</v>
      </c>
      <c r="D978" s="5">
        <f t="shared" si="3"/>
        <v>0</v>
      </c>
    </row>
    <row r="979" spans="2:4">
      <c r="B979" s="5">
        <f>SUMIF(Pagamenti!E$2:E1240,A979,Pagamenti!D$2:D1240)</f>
        <v>0</v>
      </c>
      <c r="C979" s="17">
        <f>IFERROR(VLOOKUP(A979,'Codici ATECO 2022'!A$2:C1240,3),0)</f>
        <v>0</v>
      </c>
      <c r="D979" s="5">
        <f t="shared" si="3"/>
        <v>0</v>
      </c>
    </row>
    <row r="980" spans="2:4">
      <c r="B980" s="5">
        <f>SUMIF(Pagamenti!E$2:E1240,A980,Pagamenti!D$2:D1240)</f>
        <v>0</v>
      </c>
      <c r="C980" s="17">
        <f>IFERROR(VLOOKUP(A980,'Codici ATECO 2022'!A$2:C1240,3),0)</f>
        <v>0</v>
      </c>
      <c r="D980" s="5">
        <f t="shared" si="3"/>
        <v>0</v>
      </c>
    </row>
    <row r="981" spans="2:4">
      <c r="B981" s="5">
        <f>SUMIF(Pagamenti!E$2:E1240,A981,Pagamenti!D$2:D1240)</f>
        <v>0</v>
      </c>
      <c r="C981" s="17">
        <f>IFERROR(VLOOKUP(A981,'Codici ATECO 2022'!A$2:C1240,3),0)</f>
        <v>0</v>
      </c>
      <c r="D981" s="5">
        <f t="shared" si="3"/>
        <v>0</v>
      </c>
    </row>
    <row r="982" spans="2:4">
      <c r="B982" s="5">
        <f>SUMIF(Pagamenti!E$2:E1240,A982,Pagamenti!D$2:D1240)</f>
        <v>0</v>
      </c>
      <c r="C982" s="17">
        <f>IFERROR(VLOOKUP(A982,'Codici ATECO 2022'!A$2:C1240,3),0)</f>
        <v>0</v>
      </c>
      <c r="D982" s="5">
        <f t="shared" si="3"/>
        <v>0</v>
      </c>
    </row>
    <row r="983" spans="2:4">
      <c r="B983" s="5">
        <f>SUMIF(Pagamenti!E$2:E1240,A983,Pagamenti!D$2:D1240)</f>
        <v>0</v>
      </c>
      <c r="C983" s="17">
        <f>IFERROR(VLOOKUP(A983,'Codici ATECO 2022'!A$2:C1240,3),0)</f>
        <v>0</v>
      </c>
      <c r="D983" s="5">
        <f t="shared" si="3"/>
        <v>0</v>
      </c>
    </row>
    <row r="984" spans="2:4">
      <c r="B984" s="5">
        <f>SUMIF(Pagamenti!E$2:E1240,A984,Pagamenti!D$2:D1240)</f>
        <v>0</v>
      </c>
      <c r="C984" s="17">
        <f>IFERROR(VLOOKUP(A984,'Codici ATECO 2022'!A$2:C1240,3),0)</f>
        <v>0</v>
      </c>
      <c r="D984" s="5">
        <f t="shared" si="3"/>
        <v>0</v>
      </c>
    </row>
    <row r="985" spans="2:4">
      <c r="B985" s="5">
        <f>SUMIF(Pagamenti!E$2:E1240,A985,Pagamenti!D$2:D1240)</f>
        <v>0</v>
      </c>
      <c r="C985" s="17">
        <f>IFERROR(VLOOKUP(A985,'Codici ATECO 2022'!A$2:C1240,3),0)</f>
        <v>0</v>
      </c>
      <c r="D985" s="5">
        <f t="shared" si="3"/>
        <v>0</v>
      </c>
    </row>
    <row r="986" spans="2:4">
      <c r="B986" s="5">
        <f>SUMIF(Pagamenti!E$2:E1240,A986,Pagamenti!D$2:D1240)</f>
        <v>0</v>
      </c>
      <c r="C986" s="17">
        <f>IFERROR(VLOOKUP(A986,'Codici ATECO 2022'!A$2:C1240,3),0)</f>
        <v>0</v>
      </c>
      <c r="D986" s="5">
        <f t="shared" si="3"/>
        <v>0</v>
      </c>
    </row>
    <row r="987" spans="2:4">
      <c r="B987" s="5">
        <f>SUMIF(Pagamenti!E$2:E1240,A987,Pagamenti!D$2:D1240)</f>
        <v>0</v>
      </c>
      <c r="C987" s="17">
        <f>IFERROR(VLOOKUP(A987,'Codici ATECO 2022'!A$2:C1240,3),0)</f>
        <v>0</v>
      </c>
      <c r="D987" s="5">
        <f t="shared" si="3"/>
        <v>0</v>
      </c>
    </row>
    <row r="988" spans="2:4">
      <c r="B988" s="5">
        <f>SUMIF(Pagamenti!E$2:E1240,A988,Pagamenti!D$2:D1240)</f>
        <v>0</v>
      </c>
      <c r="C988" s="17">
        <f>IFERROR(VLOOKUP(A988,'Codici ATECO 2022'!A$2:C1240,3),0)</f>
        <v>0</v>
      </c>
      <c r="D988" s="5">
        <f t="shared" si="3"/>
        <v>0</v>
      </c>
    </row>
    <row r="989" spans="2:4">
      <c r="B989" s="5">
        <f>SUMIF(Pagamenti!E$2:E1240,A989,Pagamenti!D$2:D1240)</f>
        <v>0</v>
      </c>
      <c r="C989" s="17">
        <f>IFERROR(VLOOKUP(A989,'Codici ATECO 2022'!A$2:C1240,3),0)</f>
        <v>0</v>
      </c>
      <c r="D989" s="5">
        <f t="shared" si="3"/>
        <v>0</v>
      </c>
    </row>
    <row r="990" spans="2:4">
      <c r="B990" s="5">
        <f>SUMIF(Pagamenti!E$2:E1240,A990,Pagamenti!D$2:D1240)</f>
        <v>0</v>
      </c>
      <c r="C990" s="17">
        <f>IFERROR(VLOOKUP(A990,'Codici ATECO 2022'!A$2:C1240,3),0)</f>
        <v>0</v>
      </c>
      <c r="D990" s="5">
        <f t="shared" si="3"/>
        <v>0</v>
      </c>
    </row>
    <row r="991" spans="2:4">
      <c r="B991" s="5">
        <f>SUMIF(Pagamenti!E$2:E1240,A991,Pagamenti!D$2:D1240)</f>
        <v>0</v>
      </c>
      <c r="C991" s="17">
        <f>IFERROR(VLOOKUP(A991,'Codici ATECO 2022'!A$2:C1240,3),0)</f>
        <v>0</v>
      </c>
      <c r="D991" s="5">
        <f t="shared" si="3"/>
        <v>0</v>
      </c>
    </row>
    <row r="992" spans="2:4">
      <c r="B992" s="5">
        <f>SUMIF(Pagamenti!E$2:E1240,A992,Pagamenti!D$2:D1240)</f>
        <v>0</v>
      </c>
      <c r="C992" s="17">
        <f>IFERROR(VLOOKUP(A992,'Codici ATECO 2022'!A$2:C1240,3),0)</f>
        <v>0</v>
      </c>
      <c r="D992" s="5">
        <f t="shared" si="3"/>
        <v>0</v>
      </c>
    </row>
    <row r="993" spans="2:4">
      <c r="B993" s="5">
        <f>SUMIF(Pagamenti!E$2:E1240,A993,Pagamenti!D$2:D1240)</f>
        <v>0</v>
      </c>
      <c r="C993" s="17">
        <f>IFERROR(VLOOKUP(A993,'Codici ATECO 2022'!A$2:C1240,3),0)</f>
        <v>0</v>
      </c>
      <c r="D993" s="5">
        <f t="shared" si="3"/>
        <v>0</v>
      </c>
    </row>
    <row r="994" spans="2:4">
      <c r="B994" s="5">
        <f>SUMIF(Pagamenti!E$2:E1240,A994,Pagamenti!D$2:D1240)</f>
        <v>0</v>
      </c>
      <c r="C994" s="17">
        <f>IFERROR(VLOOKUP(A994,'Codici ATECO 2022'!A$2:C1240,3),0)</f>
        <v>0</v>
      </c>
      <c r="D994" s="5">
        <f t="shared" si="3"/>
        <v>0</v>
      </c>
    </row>
    <row r="995" spans="2:4">
      <c r="B995" s="5">
        <f>SUMIF(Pagamenti!E$2:E1240,A995,Pagamenti!D$2:D1240)</f>
        <v>0</v>
      </c>
      <c r="C995" s="17">
        <f>IFERROR(VLOOKUP(A995,'Codici ATECO 2022'!A$2:C1240,3),0)</f>
        <v>0</v>
      </c>
      <c r="D995" s="5">
        <f t="shared" si="3"/>
        <v>0</v>
      </c>
    </row>
    <row r="996" spans="2:4">
      <c r="B996" s="5">
        <f>SUMIF(Pagamenti!E$2:E1240,A996,Pagamenti!D$2:D1240)</f>
        <v>0</v>
      </c>
      <c r="C996" s="17">
        <f>IFERROR(VLOOKUP(A996,'Codici ATECO 2022'!A$2:C1240,3),0)</f>
        <v>0</v>
      </c>
      <c r="D996" s="5">
        <f t="shared" si="3"/>
        <v>0</v>
      </c>
    </row>
    <row r="997" spans="2:4">
      <c r="B997" s="5">
        <f>SUMIF(Pagamenti!E$2:E1240,A997,Pagamenti!D$2:D1240)</f>
        <v>0</v>
      </c>
      <c r="C997" s="17">
        <f>IFERROR(VLOOKUP(A997,'Codici ATECO 2022'!A$2:C1240,3),0)</f>
        <v>0</v>
      </c>
      <c r="D997" s="5">
        <f t="shared" si="3"/>
        <v>0</v>
      </c>
    </row>
    <row r="998" spans="2:4">
      <c r="B998" s="5">
        <f>SUMIF(Pagamenti!E$2:E1240,A998,Pagamenti!D$2:D1240)</f>
        <v>0</v>
      </c>
      <c r="C998" s="17">
        <f>IFERROR(VLOOKUP(A998,'Codici ATECO 2022'!A$2:C1240,3),0)</f>
        <v>0</v>
      </c>
      <c r="D998" s="5">
        <f t="shared" si="3"/>
        <v>0</v>
      </c>
    </row>
    <row r="999" spans="2:4">
      <c r="B999" s="5">
        <f>SUMIF(Pagamenti!E$2:E1240,A999,Pagamenti!D$2:D1240)</f>
        <v>0</v>
      </c>
      <c r="C999" s="17">
        <f>IFERROR(VLOOKUP(A999,'Codici ATECO 2022'!A$2:C1240,3),0)</f>
        <v>0</v>
      </c>
      <c r="D999" s="5">
        <f t="shared" si="3"/>
        <v>0</v>
      </c>
    </row>
    <row r="1000" spans="2:4">
      <c r="B1000" s="5">
        <f>SUMIF(Pagamenti!E$2:E1240,A1000,Pagamenti!D$2:D1240)</f>
        <v>0</v>
      </c>
      <c r="C1000" s="17">
        <f>IFERROR(VLOOKUP(A1000,'Codici ATECO 2022'!A$2:C1240,3),0)</f>
        <v>0</v>
      </c>
      <c r="D1000" s="5">
        <f t="shared" si="3"/>
        <v>0</v>
      </c>
    </row>
    <row r="1001" spans="2:4">
      <c r="B1001" s="5">
        <f>SUMIF(Pagamenti!E$2:E1240,A1001,Pagamenti!D$2:D1240)</f>
        <v>0</v>
      </c>
      <c r="C1001" s="17">
        <f>IFERROR(VLOOKUP(A1001,'Codici ATECO 2022'!A$2:C1240,3),0)</f>
        <v>0</v>
      </c>
      <c r="D1001" s="5">
        <f t="shared" si="3"/>
        <v>0</v>
      </c>
    </row>
    <row r="1002" spans="2:4">
      <c r="B1002" s="5">
        <f>SUMIF(Pagamenti!E$2:E1240,A1002,Pagamenti!D$2:D1240)</f>
        <v>0</v>
      </c>
      <c r="C1002" s="17">
        <f>IFERROR(VLOOKUP(A1002,'Codici ATECO 2022'!A$2:C1240,3),0)</f>
        <v>0</v>
      </c>
      <c r="D1002" s="5">
        <f t="shared" si="3"/>
        <v>0</v>
      </c>
    </row>
    <row r="1003" spans="2:4">
      <c r="B1003" s="5">
        <f>SUMIF(Pagamenti!E$2:E1240,A1003,Pagamenti!D$2:D1240)</f>
        <v>0</v>
      </c>
      <c r="C1003" s="17">
        <f>IFERROR(VLOOKUP(A1003,'Codici ATECO 2022'!A$2:C1240,3),0)</f>
        <v>0</v>
      </c>
      <c r="D1003" s="5">
        <f t="shared" si="3"/>
        <v>0</v>
      </c>
    </row>
    <row r="1004" spans="2:4">
      <c r="B1004" s="5">
        <f>SUMIF(Pagamenti!E$2:E1240,A1004,Pagamenti!D$2:D1240)</f>
        <v>0</v>
      </c>
      <c r="C1004" s="17">
        <f>IFERROR(VLOOKUP(A1004,'Codici ATECO 2022'!A$2:C1240,3),0)</f>
        <v>0</v>
      </c>
      <c r="D1004" s="5">
        <f t="shared" si="3"/>
        <v>0</v>
      </c>
    </row>
    <row r="1005" spans="2:4">
      <c r="B1005" s="5">
        <f>SUMIF(Pagamenti!E$2:E1240,A1005,Pagamenti!D$2:D1240)</f>
        <v>0</v>
      </c>
      <c r="C1005" s="17">
        <f>IFERROR(VLOOKUP(A1005,'Codici ATECO 2022'!A$2:C1240,3),0)</f>
        <v>0</v>
      </c>
      <c r="D1005" s="5">
        <f t="shared" si="3"/>
        <v>0</v>
      </c>
    </row>
    <row r="1006" spans="2:4">
      <c r="B1006" s="5">
        <f>SUMIF(Pagamenti!E$2:E1240,A1006,Pagamenti!D$2:D1240)</f>
        <v>0</v>
      </c>
      <c r="C1006" s="17">
        <f>IFERROR(VLOOKUP(A1006,'Codici ATECO 2022'!A$2:C1240,3),0)</f>
        <v>0</v>
      </c>
      <c r="D1006" s="5">
        <f t="shared" si="3"/>
        <v>0</v>
      </c>
    </row>
    <row r="1007" spans="2:4">
      <c r="B1007" s="5">
        <f>SUMIF(Pagamenti!E$2:E1240,A1007,Pagamenti!D$2:D1240)</f>
        <v>0</v>
      </c>
      <c r="C1007" s="17">
        <f>IFERROR(VLOOKUP(A1007,'Codici ATECO 2022'!A$2:C1240,3),0)</f>
        <v>0</v>
      </c>
      <c r="D1007" s="5">
        <f t="shared" si="3"/>
        <v>0</v>
      </c>
    </row>
    <row r="1008" spans="2:4">
      <c r="B1008" s="5">
        <f>SUMIF(Pagamenti!E$2:E1240,A1008,Pagamenti!D$2:D1240)</f>
        <v>0</v>
      </c>
      <c r="C1008" s="17">
        <f>IFERROR(VLOOKUP(A1008,'Codici ATECO 2022'!A$2:C1240,3),0)</f>
        <v>0</v>
      </c>
      <c r="D1008" s="5">
        <f t="shared" si="3"/>
        <v>0</v>
      </c>
    </row>
    <row r="1009" spans="2:4">
      <c r="B1009" s="5">
        <f>SUMIF(Pagamenti!E$2:E1240,A1009,Pagamenti!D$2:D1240)</f>
        <v>0</v>
      </c>
      <c r="C1009" s="17">
        <f>IFERROR(VLOOKUP(A1009,'Codici ATECO 2022'!A$2:C1240,3),0)</f>
        <v>0</v>
      </c>
      <c r="D1009" s="5">
        <f t="shared" si="3"/>
        <v>0</v>
      </c>
    </row>
    <row r="1010" spans="2:4">
      <c r="B1010" s="5">
        <f>SUMIF(Pagamenti!E$2:E1240,A1010,Pagamenti!D$2:D1240)</f>
        <v>0</v>
      </c>
      <c r="C1010" s="17">
        <f>IFERROR(VLOOKUP(A1010,'Codici ATECO 2022'!A$2:C1240,3),0)</f>
        <v>0</v>
      </c>
      <c r="D1010" s="5">
        <f t="shared" si="3"/>
        <v>0</v>
      </c>
    </row>
    <row r="1011" spans="2:4">
      <c r="B1011" s="5">
        <f>SUMIF(Pagamenti!E$2:E1240,A1011,Pagamenti!D$2:D1240)</f>
        <v>0</v>
      </c>
      <c r="C1011" s="17">
        <f>IFERROR(VLOOKUP(A1011,'Codici ATECO 2022'!A$2:C1240,3),0)</f>
        <v>0</v>
      </c>
      <c r="D1011" s="5">
        <f t="shared" si="3"/>
        <v>0</v>
      </c>
    </row>
    <row r="1012" spans="2:4">
      <c r="B1012" s="5">
        <f>SUMIF(Pagamenti!E$2:E1240,A1012,Pagamenti!D$2:D1240)</f>
        <v>0</v>
      </c>
      <c r="C1012" s="17">
        <f>IFERROR(VLOOKUP(A1012,'Codici ATECO 2022'!A$2:C1240,3),0)</f>
        <v>0</v>
      </c>
      <c r="D1012" s="5">
        <f t="shared" si="3"/>
        <v>0</v>
      </c>
    </row>
    <row r="1013" spans="2:4">
      <c r="B1013" s="5">
        <f>SUMIF(Pagamenti!E$2:E1240,A1013,Pagamenti!D$2:D1240)</f>
        <v>0</v>
      </c>
      <c r="C1013" s="17">
        <f>IFERROR(VLOOKUP(A1013,'Codici ATECO 2022'!A$2:C1240,3),0)</f>
        <v>0</v>
      </c>
      <c r="D1013" s="5">
        <f t="shared" si="3"/>
        <v>0</v>
      </c>
    </row>
    <row r="1014" spans="2:4">
      <c r="B1014" s="5">
        <f>SUMIF(Pagamenti!E$2:E1240,A1014,Pagamenti!D$2:D1240)</f>
        <v>0</v>
      </c>
      <c r="C1014" s="17">
        <f>IFERROR(VLOOKUP(A1014,'Codici ATECO 2022'!A$2:C1240,3),0)</f>
        <v>0</v>
      </c>
      <c r="D1014" s="5">
        <f t="shared" si="3"/>
        <v>0</v>
      </c>
    </row>
    <row r="1015" spans="2:4">
      <c r="B1015" s="5">
        <f>SUMIF(Pagamenti!E$2:E1240,A1015,Pagamenti!D$2:D1240)</f>
        <v>0</v>
      </c>
      <c r="C1015" s="17">
        <f>IFERROR(VLOOKUP(A1015,'Codici ATECO 2022'!A$2:C1240,3),0)</f>
        <v>0</v>
      </c>
      <c r="D1015" s="5">
        <f t="shared" si="3"/>
        <v>0</v>
      </c>
    </row>
    <row r="1016" spans="2:4">
      <c r="B1016" s="5">
        <f>SUMIF(Pagamenti!E$2:E1240,A1016,Pagamenti!D$2:D1240)</f>
        <v>0</v>
      </c>
      <c r="C1016" s="17">
        <f>IFERROR(VLOOKUP(A1016,'Codici ATECO 2022'!A$2:C1240,3),0)</f>
        <v>0</v>
      </c>
      <c r="D1016" s="5">
        <f t="shared" si="3"/>
        <v>0</v>
      </c>
    </row>
    <row r="1017" spans="2:4">
      <c r="B1017" s="5">
        <f>SUMIF(Pagamenti!E$2:E1240,A1017,Pagamenti!D$2:D1240)</f>
        <v>0</v>
      </c>
      <c r="C1017" s="17">
        <f>IFERROR(VLOOKUP(A1017,'Codici ATECO 2022'!A$2:C1240,3),0)</f>
        <v>0</v>
      </c>
      <c r="D1017" s="5">
        <f t="shared" si="3"/>
        <v>0</v>
      </c>
    </row>
    <row r="1018" spans="2:4">
      <c r="B1018" s="5">
        <f>SUMIF(Pagamenti!E$2:E1240,A1018,Pagamenti!D$2:D1240)</f>
        <v>0</v>
      </c>
      <c r="C1018" s="17">
        <f>IFERROR(VLOOKUP(A1018,'Codici ATECO 2022'!A$2:C1240,3),0)</f>
        <v>0</v>
      </c>
      <c r="D1018" s="5">
        <f t="shared" si="3"/>
        <v>0</v>
      </c>
    </row>
    <row r="1019" spans="2:4">
      <c r="B1019" s="5">
        <f>SUMIF(Pagamenti!E$2:E1240,A1019,Pagamenti!D$2:D1240)</f>
        <v>0</v>
      </c>
      <c r="C1019" s="17">
        <f>IFERROR(VLOOKUP(A1019,'Codici ATECO 2022'!A$2:C1240,3),0)</f>
        <v>0</v>
      </c>
      <c r="D1019" s="5">
        <f t="shared" si="3"/>
        <v>0</v>
      </c>
    </row>
    <row r="1020" spans="2:4">
      <c r="B1020" s="5">
        <f>SUMIF(Pagamenti!E$2:E1240,A1020,Pagamenti!D$2:D1240)</f>
        <v>0</v>
      </c>
      <c r="C1020" s="17">
        <f>IFERROR(VLOOKUP(A1020,'Codici ATECO 2022'!A$2:C1240,3),0)</f>
        <v>0</v>
      </c>
      <c r="D1020" s="5">
        <f t="shared" si="3"/>
        <v>0</v>
      </c>
    </row>
    <row r="1021" spans="2:4">
      <c r="B1021" s="5">
        <f>SUMIF(Pagamenti!E$2:E1240,A1021,Pagamenti!D$2:D1240)</f>
        <v>0</v>
      </c>
      <c r="C1021" s="17">
        <f>IFERROR(VLOOKUP(A1021,'Codici ATECO 2022'!A$2:C1240,3),0)</f>
        <v>0</v>
      </c>
      <c r="D1021" s="5">
        <f t="shared" si="3"/>
        <v>0</v>
      </c>
    </row>
    <row r="1022" spans="2:4">
      <c r="B1022" s="5">
        <f>SUMIF(Pagamenti!E$2:E1240,A1022,Pagamenti!D$2:D1240)</f>
        <v>0</v>
      </c>
      <c r="C1022" s="17">
        <f>IFERROR(VLOOKUP(A1022,'Codici ATECO 2022'!A$2:C1240,3),0)</f>
        <v>0</v>
      </c>
      <c r="D1022" s="5">
        <f t="shared" ref="D1022:D1240" si="4">B1022*C1022</f>
        <v>0</v>
      </c>
    </row>
    <row r="1023" spans="2:4">
      <c r="B1023" s="5">
        <f>SUMIF(Pagamenti!E$2:E1240,A1023,Pagamenti!D$2:D1240)</f>
        <v>0</v>
      </c>
      <c r="C1023" s="17">
        <f>IFERROR(VLOOKUP(A1023,'Codici ATECO 2022'!A$2:C1240,3),0)</f>
        <v>0</v>
      </c>
      <c r="D1023" s="5">
        <f t="shared" si="4"/>
        <v>0</v>
      </c>
    </row>
    <row r="1024" spans="2:4">
      <c r="B1024" s="5">
        <f>SUMIF(Pagamenti!E$2:E1240,A1024,Pagamenti!D$2:D1240)</f>
        <v>0</v>
      </c>
      <c r="C1024" s="17">
        <f>IFERROR(VLOOKUP(A1024,'Codici ATECO 2022'!A$2:C1240,3),0)</f>
        <v>0</v>
      </c>
      <c r="D1024" s="5">
        <f t="shared" si="4"/>
        <v>0</v>
      </c>
    </row>
    <row r="1025" spans="2:4">
      <c r="B1025" s="5">
        <f>SUMIF(Pagamenti!E$2:E1240,A1025,Pagamenti!D$2:D1240)</f>
        <v>0</v>
      </c>
      <c r="C1025" s="17">
        <f>IFERROR(VLOOKUP(A1025,'Codici ATECO 2022'!A$2:C1240,3),0)</f>
        <v>0</v>
      </c>
      <c r="D1025" s="5">
        <f t="shared" si="4"/>
        <v>0</v>
      </c>
    </row>
    <row r="1026" spans="2:4">
      <c r="B1026" s="5">
        <f>SUMIF(Pagamenti!E$2:E1240,A1026,Pagamenti!D$2:D1240)</f>
        <v>0</v>
      </c>
      <c r="C1026" s="17">
        <f>IFERROR(VLOOKUP(A1026,'Codici ATECO 2022'!A$2:C1240,3),0)</f>
        <v>0</v>
      </c>
      <c r="D1026" s="5">
        <f t="shared" si="4"/>
        <v>0</v>
      </c>
    </row>
    <row r="1027" spans="2:4">
      <c r="B1027" s="5">
        <f>SUMIF(Pagamenti!E$2:E1240,A1027,Pagamenti!D$2:D1240)</f>
        <v>0</v>
      </c>
      <c r="C1027" s="17">
        <f>IFERROR(VLOOKUP(A1027,'Codici ATECO 2022'!A$2:C1240,3),0)</f>
        <v>0</v>
      </c>
      <c r="D1027" s="5">
        <f t="shared" si="4"/>
        <v>0</v>
      </c>
    </row>
    <row r="1028" spans="2:4">
      <c r="B1028" s="5">
        <f>SUMIF(Pagamenti!E$2:E1240,A1028,Pagamenti!D$2:D1240)</f>
        <v>0</v>
      </c>
      <c r="C1028" s="17">
        <f>IFERROR(VLOOKUP(A1028,'Codici ATECO 2022'!A$2:C1240,3),0)</f>
        <v>0</v>
      </c>
      <c r="D1028" s="5">
        <f t="shared" si="4"/>
        <v>0</v>
      </c>
    </row>
    <row r="1029" spans="2:4">
      <c r="B1029" s="5">
        <f>SUMIF(Pagamenti!E$2:E1240,A1029,Pagamenti!D$2:D1240)</f>
        <v>0</v>
      </c>
      <c r="C1029" s="17">
        <f>IFERROR(VLOOKUP(A1029,'Codici ATECO 2022'!A$2:C1240,3),0)</f>
        <v>0</v>
      </c>
      <c r="D1029" s="5">
        <f t="shared" si="4"/>
        <v>0</v>
      </c>
    </row>
    <row r="1030" spans="2:4">
      <c r="B1030" s="5">
        <f>SUMIF(Pagamenti!E$2:E1240,A1030,Pagamenti!D$2:D1240)</f>
        <v>0</v>
      </c>
      <c r="C1030" s="17">
        <f>IFERROR(VLOOKUP(A1030,'Codici ATECO 2022'!A$2:C1240,3),0)</f>
        <v>0</v>
      </c>
      <c r="D1030" s="5">
        <f t="shared" si="4"/>
        <v>0</v>
      </c>
    </row>
    <row r="1031" spans="2:4">
      <c r="B1031" s="5">
        <f>SUMIF(Pagamenti!E$2:E1240,A1031,Pagamenti!D$2:D1240)</f>
        <v>0</v>
      </c>
      <c r="C1031" s="17">
        <f>IFERROR(VLOOKUP(A1031,'Codici ATECO 2022'!A$2:C1240,3),0)</f>
        <v>0</v>
      </c>
      <c r="D1031" s="5">
        <f t="shared" si="4"/>
        <v>0</v>
      </c>
    </row>
    <row r="1032" spans="2:4">
      <c r="B1032" s="5">
        <f>SUMIF(Pagamenti!E$2:E1240,A1032,Pagamenti!D$2:D1240)</f>
        <v>0</v>
      </c>
      <c r="C1032" s="17">
        <f>IFERROR(VLOOKUP(A1032,'Codici ATECO 2022'!A$2:C1240,3),0)</f>
        <v>0</v>
      </c>
      <c r="D1032" s="5">
        <f t="shared" si="4"/>
        <v>0</v>
      </c>
    </row>
    <row r="1033" spans="2:4">
      <c r="B1033" s="5">
        <f>SUMIF(Pagamenti!E$2:E1240,A1033,Pagamenti!D$2:D1240)</f>
        <v>0</v>
      </c>
      <c r="C1033" s="17">
        <f>IFERROR(VLOOKUP(A1033,'Codici ATECO 2022'!A$2:C1240,3),0)</f>
        <v>0</v>
      </c>
      <c r="D1033" s="5">
        <f t="shared" si="4"/>
        <v>0</v>
      </c>
    </row>
    <row r="1034" spans="2:4">
      <c r="B1034" s="5">
        <f>SUMIF(Pagamenti!E$2:E1240,A1034,Pagamenti!D$2:D1240)</f>
        <v>0</v>
      </c>
      <c r="C1034" s="17">
        <f>IFERROR(VLOOKUP(A1034,'Codici ATECO 2022'!A$2:C1240,3),0)</f>
        <v>0</v>
      </c>
      <c r="D1034" s="5">
        <f t="shared" si="4"/>
        <v>0</v>
      </c>
    </row>
    <row r="1035" spans="2:4">
      <c r="B1035" s="5">
        <f>SUMIF(Pagamenti!E$2:E1240,A1035,Pagamenti!D$2:D1240)</f>
        <v>0</v>
      </c>
      <c r="C1035" s="17">
        <f>IFERROR(VLOOKUP(A1035,'Codici ATECO 2022'!A$2:C1240,3),0)</f>
        <v>0</v>
      </c>
      <c r="D1035" s="5">
        <f t="shared" si="4"/>
        <v>0</v>
      </c>
    </row>
    <row r="1036" spans="2:4">
      <c r="B1036" s="5">
        <f>SUMIF(Pagamenti!E$2:E1240,A1036,Pagamenti!D$2:D1240)</f>
        <v>0</v>
      </c>
      <c r="C1036" s="17">
        <f>IFERROR(VLOOKUP(A1036,'Codici ATECO 2022'!A$2:C1240,3),0)</f>
        <v>0</v>
      </c>
      <c r="D1036" s="5">
        <f t="shared" si="4"/>
        <v>0</v>
      </c>
    </row>
    <row r="1037" spans="2:4">
      <c r="B1037" s="5">
        <f>SUMIF(Pagamenti!E$2:E1240,A1037,Pagamenti!D$2:D1240)</f>
        <v>0</v>
      </c>
      <c r="C1037" s="17">
        <f>IFERROR(VLOOKUP(A1037,'Codici ATECO 2022'!A$2:C1240,3),0)</f>
        <v>0</v>
      </c>
      <c r="D1037" s="5">
        <f t="shared" si="4"/>
        <v>0</v>
      </c>
    </row>
    <row r="1038" spans="2:4">
      <c r="B1038" s="5">
        <f>SUMIF(Pagamenti!E$2:E1240,A1038,Pagamenti!D$2:D1240)</f>
        <v>0</v>
      </c>
      <c r="C1038" s="17">
        <f>IFERROR(VLOOKUP(A1038,'Codici ATECO 2022'!A$2:C1240,3),0)</f>
        <v>0</v>
      </c>
      <c r="D1038" s="5">
        <f t="shared" si="4"/>
        <v>0</v>
      </c>
    </row>
    <row r="1039" spans="2:4">
      <c r="B1039" s="5">
        <f>SUMIF(Pagamenti!E$2:E1240,A1039,Pagamenti!D$2:D1240)</f>
        <v>0</v>
      </c>
      <c r="C1039" s="17">
        <f>IFERROR(VLOOKUP(A1039,'Codici ATECO 2022'!A$2:C1240,3),0)</f>
        <v>0</v>
      </c>
      <c r="D1039" s="5">
        <f t="shared" si="4"/>
        <v>0</v>
      </c>
    </row>
    <row r="1040" spans="2:4">
      <c r="B1040" s="5">
        <f>SUMIF(Pagamenti!E$2:E1240,A1040,Pagamenti!D$2:D1240)</f>
        <v>0</v>
      </c>
      <c r="C1040" s="17">
        <f>IFERROR(VLOOKUP(A1040,'Codici ATECO 2022'!A$2:C1240,3),0)</f>
        <v>0</v>
      </c>
      <c r="D1040" s="5">
        <f t="shared" si="4"/>
        <v>0</v>
      </c>
    </row>
    <row r="1041" spans="2:4">
      <c r="B1041" s="5">
        <f>SUMIF(Pagamenti!E$2:E1240,A1041,Pagamenti!D$2:D1240)</f>
        <v>0</v>
      </c>
      <c r="C1041" s="17">
        <f>IFERROR(VLOOKUP(A1041,'Codici ATECO 2022'!A$2:C1240,3),0)</f>
        <v>0</v>
      </c>
      <c r="D1041" s="5">
        <f t="shared" si="4"/>
        <v>0</v>
      </c>
    </row>
    <row r="1042" spans="2:4">
      <c r="B1042" s="5">
        <f>SUMIF(Pagamenti!E$2:E1240,A1042,Pagamenti!D$2:D1240)</f>
        <v>0</v>
      </c>
      <c r="C1042" s="17">
        <f>IFERROR(VLOOKUP(A1042,'Codici ATECO 2022'!A$2:C1240,3),0)</f>
        <v>0</v>
      </c>
      <c r="D1042" s="5">
        <f t="shared" si="4"/>
        <v>0</v>
      </c>
    </row>
    <row r="1043" spans="2:4">
      <c r="B1043" s="5">
        <f>SUMIF(Pagamenti!E$2:E1240,A1043,Pagamenti!D$2:D1240)</f>
        <v>0</v>
      </c>
      <c r="C1043" s="17">
        <f>IFERROR(VLOOKUP(A1043,'Codici ATECO 2022'!A$2:C1240,3),0)</f>
        <v>0</v>
      </c>
      <c r="D1043" s="5">
        <f t="shared" si="4"/>
        <v>0</v>
      </c>
    </row>
    <row r="1044" spans="2:4">
      <c r="B1044" s="5">
        <f>SUMIF(Pagamenti!E$2:E1240,A1044,Pagamenti!D$2:D1240)</f>
        <v>0</v>
      </c>
      <c r="C1044" s="17">
        <f>IFERROR(VLOOKUP(A1044,'Codici ATECO 2022'!A$2:C1240,3),0)</f>
        <v>0</v>
      </c>
      <c r="D1044" s="5">
        <f t="shared" si="4"/>
        <v>0</v>
      </c>
    </row>
    <row r="1045" spans="2:4">
      <c r="B1045" s="5">
        <f>SUMIF(Pagamenti!E$2:E1240,A1045,Pagamenti!D$2:D1240)</f>
        <v>0</v>
      </c>
      <c r="C1045" s="17">
        <f>IFERROR(VLOOKUP(A1045,'Codici ATECO 2022'!A$2:C1240,3),0)</f>
        <v>0</v>
      </c>
      <c r="D1045" s="5">
        <f t="shared" si="4"/>
        <v>0</v>
      </c>
    </row>
    <row r="1046" spans="2:4">
      <c r="B1046" s="5">
        <f>SUMIF(Pagamenti!E$2:E1240,A1046,Pagamenti!D$2:D1240)</f>
        <v>0</v>
      </c>
      <c r="C1046" s="17">
        <f>IFERROR(VLOOKUP(A1046,'Codici ATECO 2022'!A$2:C1240,3),0)</f>
        <v>0</v>
      </c>
      <c r="D1046" s="5">
        <f t="shared" si="4"/>
        <v>0</v>
      </c>
    </row>
    <row r="1047" spans="2:4">
      <c r="B1047" s="5">
        <f>SUMIF(Pagamenti!E$2:E1240,A1047,Pagamenti!D$2:D1240)</f>
        <v>0</v>
      </c>
      <c r="C1047" s="17">
        <f>IFERROR(VLOOKUP(A1047,'Codici ATECO 2022'!A$2:C1240,3),0)</f>
        <v>0</v>
      </c>
      <c r="D1047" s="5">
        <f t="shared" si="4"/>
        <v>0</v>
      </c>
    </row>
    <row r="1048" spans="2:4">
      <c r="B1048" s="5">
        <f>SUMIF(Pagamenti!E$2:E1240,A1048,Pagamenti!D$2:D1240)</f>
        <v>0</v>
      </c>
      <c r="C1048" s="17">
        <f>IFERROR(VLOOKUP(A1048,'Codici ATECO 2022'!A$2:C1240,3),0)</f>
        <v>0</v>
      </c>
      <c r="D1048" s="5">
        <f t="shared" si="4"/>
        <v>0</v>
      </c>
    </row>
    <row r="1049" spans="2:4">
      <c r="B1049" s="5">
        <f>SUMIF(Pagamenti!E$2:E1240,A1049,Pagamenti!D$2:D1240)</f>
        <v>0</v>
      </c>
      <c r="C1049" s="17">
        <f>IFERROR(VLOOKUP(A1049,'Codici ATECO 2022'!A$2:C1240,3),0)</f>
        <v>0</v>
      </c>
      <c r="D1049" s="5">
        <f t="shared" si="4"/>
        <v>0</v>
      </c>
    </row>
    <row r="1050" spans="2:4">
      <c r="B1050" s="5">
        <f>SUMIF(Pagamenti!E$2:E1240,A1050,Pagamenti!D$2:D1240)</f>
        <v>0</v>
      </c>
      <c r="C1050" s="17">
        <f>IFERROR(VLOOKUP(A1050,'Codici ATECO 2022'!A$2:C1240,3),0)</f>
        <v>0</v>
      </c>
      <c r="D1050" s="5">
        <f t="shared" si="4"/>
        <v>0</v>
      </c>
    </row>
    <row r="1051" spans="2:4">
      <c r="B1051" s="5">
        <f>SUMIF(Pagamenti!E$2:E1240,A1051,Pagamenti!D$2:D1240)</f>
        <v>0</v>
      </c>
      <c r="C1051" s="17">
        <f>IFERROR(VLOOKUP(A1051,'Codici ATECO 2022'!A$2:C1240,3),0)</f>
        <v>0</v>
      </c>
      <c r="D1051" s="5">
        <f t="shared" si="4"/>
        <v>0</v>
      </c>
    </row>
    <row r="1052" spans="2:4">
      <c r="B1052" s="5">
        <f>SUMIF(Pagamenti!E$2:E1240,A1052,Pagamenti!D$2:D1240)</f>
        <v>0</v>
      </c>
      <c r="C1052" s="17">
        <f>IFERROR(VLOOKUP(A1052,'Codici ATECO 2022'!A$2:C1240,3),0)</f>
        <v>0</v>
      </c>
      <c r="D1052" s="5">
        <f t="shared" si="4"/>
        <v>0</v>
      </c>
    </row>
    <row r="1053" spans="2:4">
      <c r="B1053" s="5">
        <f>SUMIF(Pagamenti!E$2:E1240,A1053,Pagamenti!D$2:D1240)</f>
        <v>0</v>
      </c>
      <c r="C1053" s="17">
        <f>IFERROR(VLOOKUP(A1053,'Codici ATECO 2022'!A$2:C1240,3),0)</f>
        <v>0</v>
      </c>
      <c r="D1053" s="5">
        <f t="shared" si="4"/>
        <v>0</v>
      </c>
    </row>
    <row r="1054" spans="2:4">
      <c r="B1054" s="5">
        <f>SUMIF(Pagamenti!E$2:E1240,A1054,Pagamenti!D$2:D1240)</f>
        <v>0</v>
      </c>
      <c r="C1054" s="17">
        <f>IFERROR(VLOOKUP(A1054,'Codici ATECO 2022'!A$2:C1240,3),0)</f>
        <v>0</v>
      </c>
      <c r="D1054" s="5">
        <f t="shared" si="4"/>
        <v>0</v>
      </c>
    </row>
    <row r="1055" spans="2:4">
      <c r="B1055" s="5">
        <f>SUMIF(Pagamenti!E$2:E1240,A1055,Pagamenti!D$2:D1240)</f>
        <v>0</v>
      </c>
      <c r="C1055" s="17">
        <f>IFERROR(VLOOKUP(A1055,'Codici ATECO 2022'!A$2:C1240,3),0)</f>
        <v>0</v>
      </c>
      <c r="D1055" s="5">
        <f t="shared" si="4"/>
        <v>0</v>
      </c>
    </row>
    <row r="1056" spans="2:4">
      <c r="B1056" s="5">
        <f>SUMIF(Pagamenti!E$2:E1240,A1056,Pagamenti!D$2:D1240)</f>
        <v>0</v>
      </c>
      <c r="C1056" s="17">
        <f>IFERROR(VLOOKUP(A1056,'Codici ATECO 2022'!A$2:C1240,3),0)</f>
        <v>0</v>
      </c>
      <c r="D1056" s="5">
        <f t="shared" si="4"/>
        <v>0</v>
      </c>
    </row>
    <row r="1057" spans="2:4">
      <c r="B1057" s="5">
        <f>SUMIF(Pagamenti!E$2:E1240,A1057,Pagamenti!D$2:D1240)</f>
        <v>0</v>
      </c>
      <c r="C1057" s="17">
        <f>IFERROR(VLOOKUP(A1057,'Codici ATECO 2022'!A$2:C1240,3),0)</f>
        <v>0</v>
      </c>
      <c r="D1057" s="5">
        <f t="shared" si="4"/>
        <v>0</v>
      </c>
    </row>
    <row r="1058" spans="2:4">
      <c r="B1058" s="5">
        <f>SUMIF(Pagamenti!E$2:E1240,A1058,Pagamenti!D$2:D1240)</f>
        <v>0</v>
      </c>
      <c r="C1058" s="17">
        <f>IFERROR(VLOOKUP(A1058,'Codici ATECO 2022'!A$2:C1240,3),0)</f>
        <v>0</v>
      </c>
      <c r="D1058" s="5">
        <f t="shared" si="4"/>
        <v>0</v>
      </c>
    </row>
    <row r="1059" spans="2:4">
      <c r="B1059" s="5">
        <f>SUMIF(Pagamenti!E$2:E1240,A1059,Pagamenti!D$2:D1240)</f>
        <v>0</v>
      </c>
      <c r="C1059" s="17">
        <f>IFERROR(VLOOKUP(A1059,'Codici ATECO 2022'!A$2:C1240,3),0)</f>
        <v>0</v>
      </c>
      <c r="D1059" s="5">
        <f t="shared" si="4"/>
        <v>0</v>
      </c>
    </row>
    <row r="1060" spans="2:4">
      <c r="B1060" s="5">
        <f>SUMIF(Pagamenti!E$2:E1240,A1060,Pagamenti!D$2:D1240)</f>
        <v>0</v>
      </c>
      <c r="C1060" s="17">
        <f>IFERROR(VLOOKUP(A1060,'Codici ATECO 2022'!A$2:C1240,3),0)</f>
        <v>0</v>
      </c>
      <c r="D1060" s="5">
        <f t="shared" si="4"/>
        <v>0</v>
      </c>
    </row>
    <row r="1061" spans="2:4">
      <c r="B1061" s="5">
        <f>SUMIF(Pagamenti!E$2:E1240,A1061,Pagamenti!D$2:D1240)</f>
        <v>0</v>
      </c>
      <c r="C1061" s="17">
        <f>IFERROR(VLOOKUP(A1061,'Codici ATECO 2022'!A$2:C1240,3),0)</f>
        <v>0</v>
      </c>
      <c r="D1061" s="5">
        <f t="shared" si="4"/>
        <v>0</v>
      </c>
    </row>
    <row r="1062" spans="2:4">
      <c r="B1062" s="5">
        <f>SUMIF(Pagamenti!E$2:E1240,A1062,Pagamenti!D$2:D1240)</f>
        <v>0</v>
      </c>
      <c r="C1062" s="17">
        <f>IFERROR(VLOOKUP(A1062,'Codici ATECO 2022'!A$2:C1240,3),0)</f>
        <v>0</v>
      </c>
      <c r="D1062" s="5">
        <f t="shared" si="4"/>
        <v>0</v>
      </c>
    </row>
    <row r="1063" spans="2:4">
      <c r="B1063" s="5">
        <f>SUMIF(Pagamenti!E$2:E1240,A1063,Pagamenti!D$2:D1240)</f>
        <v>0</v>
      </c>
      <c r="C1063" s="17">
        <f>IFERROR(VLOOKUP(A1063,'Codici ATECO 2022'!A$2:C1240,3),0)</f>
        <v>0</v>
      </c>
      <c r="D1063" s="5">
        <f t="shared" si="4"/>
        <v>0</v>
      </c>
    </row>
    <row r="1064" spans="2:4">
      <c r="B1064" s="5">
        <f>SUMIF(Pagamenti!E$2:E1240,A1064,Pagamenti!D$2:D1240)</f>
        <v>0</v>
      </c>
      <c r="C1064" s="17">
        <f>IFERROR(VLOOKUP(A1064,'Codici ATECO 2022'!A$2:C1240,3),0)</f>
        <v>0</v>
      </c>
      <c r="D1064" s="5">
        <f t="shared" si="4"/>
        <v>0</v>
      </c>
    </row>
    <row r="1065" spans="2:4">
      <c r="B1065" s="5">
        <f>SUMIF(Pagamenti!E$2:E1240,A1065,Pagamenti!D$2:D1240)</f>
        <v>0</v>
      </c>
      <c r="C1065" s="17">
        <f>IFERROR(VLOOKUP(A1065,'Codici ATECO 2022'!A$2:C1240,3),0)</f>
        <v>0</v>
      </c>
      <c r="D1065" s="5">
        <f t="shared" si="4"/>
        <v>0</v>
      </c>
    </row>
    <row r="1066" spans="2:4">
      <c r="B1066" s="5">
        <f>SUMIF(Pagamenti!E$2:E1240,A1066,Pagamenti!D$2:D1240)</f>
        <v>0</v>
      </c>
      <c r="C1066" s="17">
        <f>IFERROR(VLOOKUP(A1066,'Codici ATECO 2022'!A$2:C1240,3),0)</f>
        <v>0</v>
      </c>
      <c r="D1066" s="5">
        <f t="shared" si="4"/>
        <v>0</v>
      </c>
    </row>
    <row r="1067" spans="2:4">
      <c r="B1067" s="5">
        <f>SUMIF(Pagamenti!E$2:E1240,A1067,Pagamenti!D$2:D1240)</f>
        <v>0</v>
      </c>
      <c r="C1067" s="17">
        <f>IFERROR(VLOOKUP(A1067,'Codici ATECO 2022'!A$2:C1240,3),0)</f>
        <v>0</v>
      </c>
      <c r="D1067" s="5">
        <f t="shared" si="4"/>
        <v>0</v>
      </c>
    </row>
    <row r="1068" spans="2:4">
      <c r="B1068" s="5">
        <f>SUMIF(Pagamenti!E$2:E1240,A1068,Pagamenti!D$2:D1240)</f>
        <v>0</v>
      </c>
      <c r="C1068" s="17">
        <f>IFERROR(VLOOKUP(A1068,'Codici ATECO 2022'!A$2:C1240,3),0)</f>
        <v>0</v>
      </c>
      <c r="D1068" s="5">
        <f t="shared" si="4"/>
        <v>0</v>
      </c>
    </row>
    <row r="1069" spans="2:4">
      <c r="B1069" s="5">
        <f>SUMIF(Pagamenti!E$2:E1240,A1069,Pagamenti!D$2:D1240)</f>
        <v>0</v>
      </c>
      <c r="C1069" s="17">
        <f>IFERROR(VLOOKUP(A1069,'Codici ATECO 2022'!A$2:C1240,3),0)</f>
        <v>0</v>
      </c>
      <c r="D1069" s="5">
        <f t="shared" si="4"/>
        <v>0</v>
      </c>
    </row>
    <row r="1070" spans="2:4">
      <c r="B1070" s="5">
        <f>SUMIF(Pagamenti!E$2:E1240,A1070,Pagamenti!D$2:D1240)</f>
        <v>0</v>
      </c>
      <c r="C1070" s="17">
        <f>IFERROR(VLOOKUP(A1070,'Codici ATECO 2022'!A$2:C1240,3),0)</f>
        <v>0</v>
      </c>
      <c r="D1070" s="5">
        <f t="shared" si="4"/>
        <v>0</v>
      </c>
    </row>
    <row r="1071" spans="2:4">
      <c r="B1071" s="5">
        <f>SUMIF(Pagamenti!E$2:E1240,A1071,Pagamenti!D$2:D1240)</f>
        <v>0</v>
      </c>
      <c r="C1071" s="17">
        <f>IFERROR(VLOOKUP(A1071,'Codici ATECO 2022'!A$2:C1240,3),0)</f>
        <v>0</v>
      </c>
      <c r="D1071" s="5">
        <f t="shared" si="4"/>
        <v>0</v>
      </c>
    </row>
    <row r="1072" spans="2:4">
      <c r="B1072" s="5">
        <f>SUMIF(Pagamenti!E$2:E1240,A1072,Pagamenti!D$2:D1240)</f>
        <v>0</v>
      </c>
      <c r="C1072" s="17">
        <f>IFERROR(VLOOKUP(A1072,'Codici ATECO 2022'!A$2:C1240,3),0)</f>
        <v>0</v>
      </c>
      <c r="D1072" s="5">
        <f t="shared" si="4"/>
        <v>0</v>
      </c>
    </row>
    <row r="1073" spans="2:4">
      <c r="B1073" s="5">
        <f>SUMIF(Pagamenti!E$2:E1240,A1073,Pagamenti!D$2:D1240)</f>
        <v>0</v>
      </c>
      <c r="C1073" s="17">
        <f>IFERROR(VLOOKUP(A1073,'Codici ATECO 2022'!A$2:C1240,3),0)</f>
        <v>0</v>
      </c>
      <c r="D1073" s="5">
        <f t="shared" si="4"/>
        <v>0</v>
      </c>
    </row>
    <row r="1074" spans="2:4">
      <c r="B1074" s="5">
        <f>SUMIF(Pagamenti!E$2:E1240,A1074,Pagamenti!D$2:D1240)</f>
        <v>0</v>
      </c>
      <c r="C1074" s="17">
        <f>IFERROR(VLOOKUP(A1074,'Codici ATECO 2022'!A$2:C1240,3),0)</f>
        <v>0</v>
      </c>
      <c r="D1074" s="5">
        <f t="shared" si="4"/>
        <v>0</v>
      </c>
    </row>
    <row r="1075" spans="2:4">
      <c r="B1075" s="5">
        <f>SUMIF(Pagamenti!E$2:E1240,A1075,Pagamenti!D$2:D1240)</f>
        <v>0</v>
      </c>
      <c r="C1075" s="17">
        <f>IFERROR(VLOOKUP(A1075,'Codici ATECO 2022'!A$2:C1240,3),0)</f>
        <v>0</v>
      </c>
      <c r="D1075" s="5">
        <f t="shared" si="4"/>
        <v>0</v>
      </c>
    </row>
    <row r="1076" spans="2:4">
      <c r="B1076" s="5">
        <f>SUMIF(Pagamenti!E$2:E1240,A1076,Pagamenti!D$2:D1240)</f>
        <v>0</v>
      </c>
      <c r="C1076" s="17">
        <f>IFERROR(VLOOKUP(A1076,'Codici ATECO 2022'!A$2:C1240,3),0)</f>
        <v>0</v>
      </c>
      <c r="D1076" s="5">
        <f t="shared" si="4"/>
        <v>0</v>
      </c>
    </row>
    <row r="1077" spans="2:4">
      <c r="B1077" s="5">
        <f>SUMIF(Pagamenti!E$2:E1240,A1077,Pagamenti!D$2:D1240)</f>
        <v>0</v>
      </c>
      <c r="C1077" s="17">
        <f>IFERROR(VLOOKUP(A1077,'Codici ATECO 2022'!A$2:C1240,3),0)</f>
        <v>0</v>
      </c>
      <c r="D1077" s="5">
        <f t="shared" si="4"/>
        <v>0</v>
      </c>
    </row>
    <row r="1078" spans="2:4">
      <c r="B1078" s="5">
        <f>SUMIF(Pagamenti!E$2:E1240,A1078,Pagamenti!D$2:D1240)</f>
        <v>0</v>
      </c>
      <c r="C1078" s="17">
        <f>IFERROR(VLOOKUP(A1078,'Codici ATECO 2022'!A$2:C1240,3),0)</f>
        <v>0</v>
      </c>
      <c r="D1078" s="5">
        <f t="shared" si="4"/>
        <v>0</v>
      </c>
    </row>
    <row r="1079" spans="2:4">
      <c r="B1079" s="5">
        <f>SUMIF(Pagamenti!E$2:E1240,A1079,Pagamenti!D$2:D1240)</f>
        <v>0</v>
      </c>
      <c r="C1079" s="17">
        <f>IFERROR(VLOOKUP(A1079,'Codici ATECO 2022'!A$2:C1240,3),0)</f>
        <v>0</v>
      </c>
      <c r="D1079" s="5">
        <f t="shared" si="4"/>
        <v>0</v>
      </c>
    </row>
    <row r="1080" spans="2:4">
      <c r="B1080" s="5">
        <f>SUMIF(Pagamenti!E$2:E1240,A1080,Pagamenti!D$2:D1240)</f>
        <v>0</v>
      </c>
      <c r="C1080" s="17">
        <f>IFERROR(VLOOKUP(A1080,'Codici ATECO 2022'!A$2:C1240,3),0)</f>
        <v>0</v>
      </c>
      <c r="D1080" s="5">
        <f t="shared" si="4"/>
        <v>0</v>
      </c>
    </row>
    <row r="1081" spans="2:4">
      <c r="B1081" s="5">
        <f>SUMIF(Pagamenti!E$2:E1240,A1081,Pagamenti!D$2:D1240)</f>
        <v>0</v>
      </c>
      <c r="C1081" s="17">
        <f>IFERROR(VLOOKUP(A1081,'Codici ATECO 2022'!A$2:C1240,3),0)</f>
        <v>0</v>
      </c>
      <c r="D1081" s="5">
        <f t="shared" si="4"/>
        <v>0</v>
      </c>
    </row>
    <row r="1082" spans="2:4">
      <c r="B1082" s="5">
        <f>SUMIF(Pagamenti!E$2:E1240,A1082,Pagamenti!D$2:D1240)</f>
        <v>0</v>
      </c>
      <c r="C1082" s="17">
        <f>IFERROR(VLOOKUP(A1082,'Codici ATECO 2022'!A$2:C1240,3),0)</f>
        <v>0</v>
      </c>
      <c r="D1082" s="5">
        <f t="shared" si="4"/>
        <v>0</v>
      </c>
    </row>
    <row r="1083" spans="2:4">
      <c r="B1083" s="5">
        <f>SUMIF(Pagamenti!E$2:E1240,A1083,Pagamenti!D$2:D1240)</f>
        <v>0</v>
      </c>
      <c r="C1083" s="17">
        <f>IFERROR(VLOOKUP(A1083,'Codici ATECO 2022'!A$2:C1240,3),0)</f>
        <v>0</v>
      </c>
      <c r="D1083" s="5">
        <f t="shared" si="4"/>
        <v>0</v>
      </c>
    </row>
    <row r="1084" spans="2:4">
      <c r="B1084" s="5">
        <f>SUMIF(Pagamenti!E$2:E1240,A1084,Pagamenti!D$2:D1240)</f>
        <v>0</v>
      </c>
      <c r="C1084" s="17">
        <f>IFERROR(VLOOKUP(A1084,'Codici ATECO 2022'!A$2:C1240,3),0)</f>
        <v>0</v>
      </c>
      <c r="D1084" s="5">
        <f t="shared" si="4"/>
        <v>0</v>
      </c>
    </row>
    <row r="1085" spans="2:4">
      <c r="B1085" s="5">
        <f>SUMIF(Pagamenti!E$2:E1240,A1085,Pagamenti!D$2:D1240)</f>
        <v>0</v>
      </c>
      <c r="C1085" s="17">
        <f>IFERROR(VLOOKUP(A1085,'Codici ATECO 2022'!A$2:C1240,3),0)</f>
        <v>0</v>
      </c>
      <c r="D1085" s="5">
        <f t="shared" si="4"/>
        <v>0</v>
      </c>
    </row>
    <row r="1086" spans="2:4">
      <c r="B1086" s="5">
        <f>SUMIF(Pagamenti!E$2:E1240,A1086,Pagamenti!D$2:D1240)</f>
        <v>0</v>
      </c>
      <c r="C1086" s="17">
        <f>IFERROR(VLOOKUP(A1086,'Codici ATECO 2022'!A$2:C1240,3),0)</f>
        <v>0</v>
      </c>
      <c r="D1086" s="5">
        <f t="shared" si="4"/>
        <v>0</v>
      </c>
    </row>
    <row r="1087" spans="2:4">
      <c r="B1087" s="5">
        <f>SUMIF(Pagamenti!E$2:E1240,A1087,Pagamenti!D$2:D1240)</f>
        <v>0</v>
      </c>
      <c r="C1087" s="17">
        <f>IFERROR(VLOOKUP(A1087,'Codici ATECO 2022'!A$2:C1240,3),0)</f>
        <v>0</v>
      </c>
      <c r="D1087" s="5">
        <f t="shared" si="4"/>
        <v>0</v>
      </c>
    </row>
    <row r="1088" spans="2:4">
      <c r="B1088" s="5">
        <f>SUMIF(Pagamenti!E$2:E1240,A1088,Pagamenti!D$2:D1240)</f>
        <v>0</v>
      </c>
      <c r="C1088" s="17">
        <f>IFERROR(VLOOKUP(A1088,'Codici ATECO 2022'!A$2:C1240,3),0)</f>
        <v>0</v>
      </c>
      <c r="D1088" s="5">
        <f t="shared" si="4"/>
        <v>0</v>
      </c>
    </row>
    <row r="1089" spans="2:4">
      <c r="B1089" s="5">
        <f>SUMIF(Pagamenti!E$2:E1240,A1089,Pagamenti!D$2:D1240)</f>
        <v>0</v>
      </c>
      <c r="C1089" s="17">
        <f>IFERROR(VLOOKUP(A1089,'Codici ATECO 2022'!A$2:C1240,3),0)</f>
        <v>0</v>
      </c>
      <c r="D1089" s="5">
        <f t="shared" si="4"/>
        <v>0</v>
      </c>
    </row>
    <row r="1090" spans="2:4">
      <c r="B1090" s="5">
        <f>SUMIF(Pagamenti!E$2:E1240,A1090,Pagamenti!D$2:D1240)</f>
        <v>0</v>
      </c>
      <c r="C1090" s="17">
        <f>IFERROR(VLOOKUP(A1090,'Codici ATECO 2022'!A$2:C1240,3),0)</f>
        <v>0</v>
      </c>
      <c r="D1090" s="5">
        <f t="shared" si="4"/>
        <v>0</v>
      </c>
    </row>
    <row r="1091" spans="2:4">
      <c r="B1091" s="5">
        <f>SUMIF(Pagamenti!E$2:E1240,A1091,Pagamenti!D$2:D1240)</f>
        <v>0</v>
      </c>
      <c r="C1091" s="17">
        <f>IFERROR(VLOOKUP(A1091,'Codici ATECO 2022'!A$2:C1240,3),0)</f>
        <v>0</v>
      </c>
      <c r="D1091" s="5">
        <f t="shared" si="4"/>
        <v>0</v>
      </c>
    </row>
    <row r="1092" spans="2:4">
      <c r="B1092" s="5">
        <f>SUMIF(Pagamenti!E$2:E1240,A1092,Pagamenti!D$2:D1240)</f>
        <v>0</v>
      </c>
      <c r="C1092" s="17">
        <f>IFERROR(VLOOKUP(A1092,'Codici ATECO 2022'!A$2:C1240,3),0)</f>
        <v>0</v>
      </c>
      <c r="D1092" s="5">
        <f t="shared" si="4"/>
        <v>0</v>
      </c>
    </row>
    <row r="1093" spans="2:4">
      <c r="B1093" s="5">
        <f>SUMIF(Pagamenti!E$2:E1240,A1093,Pagamenti!D$2:D1240)</f>
        <v>0</v>
      </c>
      <c r="C1093" s="17">
        <f>IFERROR(VLOOKUP(A1093,'Codici ATECO 2022'!A$2:C1240,3),0)</f>
        <v>0</v>
      </c>
      <c r="D1093" s="5">
        <f t="shared" si="4"/>
        <v>0</v>
      </c>
    </row>
    <row r="1094" spans="2:4">
      <c r="B1094" s="5">
        <f>SUMIF(Pagamenti!E$2:E1240,A1094,Pagamenti!D$2:D1240)</f>
        <v>0</v>
      </c>
      <c r="C1094" s="17">
        <f>IFERROR(VLOOKUP(A1094,'Codici ATECO 2022'!A$2:C1240,3),0)</f>
        <v>0</v>
      </c>
      <c r="D1094" s="5">
        <f t="shared" si="4"/>
        <v>0</v>
      </c>
    </row>
    <row r="1095" spans="2:4">
      <c r="B1095" s="5">
        <f>SUMIF(Pagamenti!E$2:E1240,A1095,Pagamenti!D$2:D1240)</f>
        <v>0</v>
      </c>
      <c r="C1095" s="17">
        <f>IFERROR(VLOOKUP(A1095,'Codici ATECO 2022'!A$2:C1240,3),0)</f>
        <v>0</v>
      </c>
      <c r="D1095" s="5">
        <f t="shared" si="4"/>
        <v>0</v>
      </c>
    </row>
    <row r="1096" spans="2:4">
      <c r="B1096" s="5">
        <f>SUMIF(Pagamenti!E$2:E1240,A1096,Pagamenti!D$2:D1240)</f>
        <v>0</v>
      </c>
      <c r="C1096" s="17">
        <f>IFERROR(VLOOKUP(A1096,'Codici ATECO 2022'!A$2:C1240,3),0)</f>
        <v>0</v>
      </c>
      <c r="D1096" s="5">
        <f t="shared" si="4"/>
        <v>0</v>
      </c>
    </row>
    <row r="1097" spans="2:4">
      <c r="B1097" s="5">
        <f>SUMIF(Pagamenti!E$2:E1240,A1097,Pagamenti!D$2:D1240)</f>
        <v>0</v>
      </c>
      <c r="C1097" s="17">
        <f>IFERROR(VLOOKUP(A1097,'Codici ATECO 2022'!A$2:C1240,3),0)</f>
        <v>0</v>
      </c>
      <c r="D1097" s="5">
        <f t="shared" si="4"/>
        <v>0</v>
      </c>
    </row>
    <row r="1098" spans="2:4">
      <c r="B1098" s="5">
        <f>SUMIF(Pagamenti!E$2:E1240,A1098,Pagamenti!D$2:D1240)</f>
        <v>0</v>
      </c>
      <c r="C1098" s="17">
        <f>IFERROR(VLOOKUP(A1098,'Codici ATECO 2022'!A$2:C1240,3),0)</f>
        <v>0</v>
      </c>
      <c r="D1098" s="5">
        <f t="shared" si="4"/>
        <v>0</v>
      </c>
    </row>
    <row r="1099" spans="2:4">
      <c r="B1099" s="5">
        <f>SUMIF(Pagamenti!E$2:E1240,A1099,Pagamenti!D$2:D1240)</f>
        <v>0</v>
      </c>
      <c r="C1099" s="17">
        <f>IFERROR(VLOOKUP(A1099,'Codici ATECO 2022'!A$2:C1240,3),0)</f>
        <v>0</v>
      </c>
      <c r="D1099" s="5">
        <f t="shared" si="4"/>
        <v>0</v>
      </c>
    </row>
    <row r="1100" spans="2:4">
      <c r="B1100" s="5">
        <f>SUMIF(Pagamenti!E$2:E1240,A1100,Pagamenti!D$2:D1240)</f>
        <v>0</v>
      </c>
      <c r="C1100" s="17">
        <f>IFERROR(VLOOKUP(A1100,'Codici ATECO 2022'!A$2:C1240,3),0)</f>
        <v>0</v>
      </c>
      <c r="D1100" s="5">
        <f t="shared" si="4"/>
        <v>0</v>
      </c>
    </row>
    <row r="1101" spans="2:4">
      <c r="B1101" s="5">
        <f>SUMIF(Pagamenti!E$2:E1240,A1101,Pagamenti!D$2:D1240)</f>
        <v>0</v>
      </c>
      <c r="C1101" s="17">
        <f>IFERROR(VLOOKUP(A1101,'Codici ATECO 2022'!A$2:C1240,3),0)</f>
        <v>0</v>
      </c>
      <c r="D1101" s="5">
        <f t="shared" si="4"/>
        <v>0</v>
      </c>
    </row>
    <row r="1102" spans="2:4">
      <c r="B1102" s="5">
        <f>SUMIF(Pagamenti!E$2:E1240,A1102,Pagamenti!D$2:D1240)</f>
        <v>0</v>
      </c>
      <c r="C1102" s="17">
        <f>IFERROR(VLOOKUP(A1102,'Codici ATECO 2022'!A$2:C1240,3),0)</f>
        <v>0</v>
      </c>
      <c r="D1102" s="5">
        <f t="shared" si="4"/>
        <v>0</v>
      </c>
    </row>
    <row r="1103" spans="2:4">
      <c r="B1103" s="5">
        <f>SUMIF(Pagamenti!E$2:E1240,A1103,Pagamenti!D$2:D1240)</f>
        <v>0</v>
      </c>
      <c r="C1103" s="17">
        <f>IFERROR(VLOOKUP(A1103,'Codici ATECO 2022'!A$2:C1240,3),0)</f>
        <v>0</v>
      </c>
      <c r="D1103" s="5">
        <f t="shared" si="4"/>
        <v>0</v>
      </c>
    </row>
    <row r="1104" spans="2:4">
      <c r="B1104" s="5">
        <f>SUMIF(Pagamenti!E$2:E1240,A1104,Pagamenti!D$2:D1240)</f>
        <v>0</v>
      </c>
      <c r="C1104" s="17">
        <f>IFERROR(VLOOKUP(A1104,'Codici ATECO 2022'!A$2:C1240,3),0)</f>
        <v>0</v>
      </c>
      <c r="D1104" s="5">
        <f t="shared" si="4"/>
        <v>0</v>
      </c>
    </row>
    <row r="1105" spans="2:4">
      <c r="B1105" s="5">
        <f>SUMIF(Pagamenti!E$2:E1240,A1105,Pagamenti!D$2:D1240)</f>
        <v>0</v>
      </c>
      <c r="C1105" s="17">
        <f>IFERROR(VLOOKUP(A1105,'Codici ATECO 2022'!A$2:C1240,3),0)</f>
        <v>0</v>
      </c>
      <c r="D1105" s="5">
        <f t="shared" si="4"/>
        <v>0</v>
      </c>
    </row>
    <row r="1106" spans="2:4">
      <c r="B1106" s="5">
        <f>SUMIF(Pagamenti!E$2:E1240,A1106,Pagamenti!D$2:D1240)</f>
        <v>0</v>
      </c>
      <c r="C1106" s="17">
        <f>IFERROR(VLOOKUP(A1106,'Codici ATECO 2022'!A$2:C1240,3),0)</f>
        <v>0</v>
      </c>
      <c r="D1106" s="5">
        <f t="shared" si="4"/>
        <v>0</v>
      </c>
    </row>
    <row r="1107" spans="2:4">
      <c r="B1107" s="5">
        <f>SUMIF(Pagamenti!E$2:E1240,A1107,Pagamenti!D$2:D1240)</f>
        <v>0</v>
      </c>
      <c r="C1107" s="17">
        <f>IFERROR(VLOOKUP(A1107,'Codici ATECO 2022'!A$2:C1240,3),0)</f>
        <v>0</v>
      </c>
      <c r="D1107" s="5">
        <f t="shared" si="4"/>
        <v>0</v>
      </c>
    </row>
    <row r="1108" spans="2:4">
      <c r="B1108" s="5">
        <f>SUMIF(Pagamenti!E$2:E1240,A1108,Pagamenti!D$2:D1240)</f>
        <v>0</v>
      </c>
      <c r="C1108" s="17">
        <f>IFERROR(VLOOKUP(A1108,'Codici ATECO 2022'!A$2:C1240,3),0)</f>
        <v>0</v>
      </c>
      <c r="D1108" s="5">
        <f t="shared" si="4"/>
        <v>0</v>
      </c>
    </row>
    <row r="1109" spans="2:4">
      <c r="B1109" s="5">
        <f>SUMIF(Pagamenti!E$2:E1240,A1109,Pagamenti!D$2:D1240)</f>
        <v>0</v>
      </c>
      <c r="C1109" s="17">
        <f>IFERROR(VLOOKUP(A1109,'Codici ATECO 2022'!A$2:C1240,3),0)</f>
        <v>0</v>
      </c>
      <c r="D1109" s="5">
        <f t="shared" si="4"/>
        <v>0</v>
      </c>
    </row>
    <row r="1110" spans="2:4">
      <c r="B1110" s="5">
        <f>SUMIF(Pagamenti!E$2:E1240,A1110,Pagamenti!D$2:D1240)</f>
        <v>0</v>
      </c>
      <c r="C1110" s="17">
        <f>IFERROR(VLOOKUP(A1110,'Codici ATECO 2022'!A$2:C1240,3),0)</f>
        <v>0</v>
      </c>
      <c r="D1110" s="5">
        <f t="shared" si="4"/>
        <v>0</v>
      </c>
    </row>
    <row r="1111" spans="2:4">
      <c r="B1111" s="5">
        <f>SUMIF(Pagamenti!E$2:E1240,A1111,Pagamenti!D$2:D1240)</f>
        <v>0</v>
      </c>
      <c r="C1111" s="17">
        <f>IFERROR(VLOOKUP(A1111,'Codici ATECO 2022'!A$2:C1240,3),0)</f>
        <v>0</v>
      </c>
      <c r="D1111" s="5">
        <f t="shared" si="4"/>
        <v>0</v>
      </c>
    </row>
    <row r="1112" spans="2:4">
      <c r="B1112" s="5">
        <f>SUMIF(Pagamenti!E$2:E1240,A1112,Pagamenti!D$2:D1240)</f>
        <v>0</v>
      </c>
      <c r="C1112" s="17">
        <f>IFERROR(VLOOKUP(A1112,'Codici ATECO 2022'!A$2:C1240,3),0)</f>
        <v>0</v>
      </c>
      <c r="D1112" s="5">
        <f t="shared" si="4"/>
        <v>0</v>
      </c>
    </row>
    <row r="1113" spans="2:4">
      <c r="B1113" s="5">
        <f>SUMIF(Pagamenti!E$2:E1240,A1113,Pagamenti!D$2:D1240)</f>
        <v>0</v>
      </c>
      <c r="C1113" s="17">
        <f>IFERROR(VLOOKUP(A1113,'Codici ATECO 2022'!A$2:C1240,3),0)</f>
        <v>0</v>
      </c>
      <c r="D1113" s="5">
        <f t="shared" si="4"/>
        <v>0</v>
      </c>
    </row>
    <row r="1114" spans="2:4">
      <c r="B1114" s="5">
        <f>SUMIF(Pagamenti!E$2:E1240,A1114,Pagamenti!D$2:D1240)</f>
        <v>0</v>
      </c>
      <c r="C1114" s="17">
        <f>IFERROR(VLOOKUP(A1114,'Codici ATECO 2022'!A$2:C1240,3),0)</f>
        <v>0</v>
      </c>
      <c r="D1114" s="5">
        <f t="shared" si="4"/>
        <v>0</v>
      </c>
    </row>
    <row r="1115" spans="2:4">
      <c r="B1115" s="5">
        <f>SUMIF(Pagamenti!E$2:E1240,A1115,Pagamenti!D$2:D1240)</f>
        <v>0</v>
      </c>
      <c r="C1115" s="17">
        <f>IFERROR(VLOOKUP(A1115,'Codici ATECO 2022'!A$2:C1240,3),0)</f>
        <v>0</v>
      </c>
      <c r="D1115" s="5">
        <f t="shared" si="4"/>
        <v>0</v>
      </c>
    </row>
    <row r="1116" spans="2:4">
      <c r="B1116" s="5">
        <f>SUMIF(Pagamenti!E$2:E1240,A1116,Pagamenti!D$2:D1240)</f>
        <v>0</v>
      </c>
      <c r="C1116" s="17">
        <f>IFERROR(VLOOKUP(A1116,'Codici ATECO 2022'!A$2:C1240,3),0)</f>
        <v>0</v>
      </c>
      <c r="D1116" s="5">
        <f t="shared" si="4"/>
        <v>0</v>
      </c>
    </row>
    <row r="1117" spans="2:4">
      <c r="B1117" s="5">
        <f>SUMIF(Pagamenti!E$2:E1240,A1117,Pagamenti!D$2:D1240)</f>
        <v>0</v>
      </c>
      <c r="C1117" s="17">
        <f>IFERROR(VLOOKUP(A1117,'Codici ATECO 2022'!A$2:C1240,3),0)</f>
        <v>0</v>
      </c>
      <c r="D1117" s="5">
        <f t="shared" si="4"/>
        <v>0</v>
      </c>
    </row>
    <row r="1118" spans="2:4">
      <c r="B1118" s="5">
        <f>SUMIF(Pagamenti!E$2:E1240,A1118,Pagamenti!D$2:D1240)</f>
        <v>0</v>
      </c>
      <c r="C1118" s="17">
        <f>IFERROR(VLOOKUP(A1118,'Codici ATECO 2022'!A$2:C1240,3),0)</f>
        <v>0</v>
      </c>
      <c r="D1118" s="5">
        <f t="shared" si="4"/>
        <v>0</v>
      </c>
    </row>
    <row r="1119" spans="2:4">
      <c r="B1119" s="5">
        <f>SUMIF(Pagamenti!E$2:E1240,A1119,Pagamenti!D$2:D1240)</f>
        <v>0</v>
      </c>
      <c r="C1119" s="17">
        <f>IFERROR(VLOOKUP(A1119,'Codici ATECO 2022'!A$2:C1240,3),0)</f>
        <v>0</v>
      </c>
      <c r="D1119" s="5">
        <f t="shared" si="4"/>
        <v>0</v>
      </c>
    </row>
    <row r="1120" spans="2:4">
      <c r="B1120" s="5">
        <f>SUMIF(Pagamenti!E$2:E1240,A1120,Pagamenti!D$2:D1240)</f>
        <v>0</v>
      </c>
      <c r="C1120" s="17">
        <f>IFERROR(VLOOKUP(A1120,'Codici ATECO 2022'!A$2:C1240,3),0)</f>
        <v>0</v>
      </c>
      <c r="D1120" s="5">
        <f t="shared" si="4"/>
        <v>0</v>
      </c>
    </row>
    <row r="1121" spans="2:4">
      <c r="B1121" s="5">
        <f>SUMIF(Pagamenti!E$2:E1240,A1121,Pagamenti!D$2:D1240)</f>
        <v>0</v>
      </c>
      <c r="C1121" s="17">
        <f>IFERROR(VLOOKUP(A1121,'Codici ATECO 2022'!A$2:C1240,3),0)</f>
        <v>0</v>
      </c>
      <c r="D1121" s="5">
        <f t="shared" si="4"/>
        <v>0</v>
      </c>
    </row>
    <row r="1122" spans="2:4">
      <c r="B1122" s="5">
        <f>SUMIF(Pagamenti!E$2:E1240,A1122,Pagamenti!D$2:D1240)</f>
        <v>0</v>
      </c>
      <c r="C1122" s="17">
        <f>IFERROR(VLOOKUP(A1122,'Codici ATECO 2022'!A$2:C1240,3),0)</f>
        <v>0</v>
      </c>
      <c r="D1122" s="5">
        <f t="shared" si="4"/>
        <v>0</v>
      </c>
    </row>
    <row r="1123" spans="2:4">
      <c r="B1123" s="5">
        <f>SUMIF(Pagamenti!E$2:E1240,A1123,Pagamenti!D$2:D1240)</f>
        <v>0</v>
      </c>
      <c r="C1123" s="17">
        <f>IFERROR(VLOOKUP(A1123,'Codici ATECO 2022'!A$2:C1240,3),0)</f>
        <v>0</v>
      </c>
      <c r="D1123" s="5">
        <f t="shared" si="4"/>
        <v>0</v>
      </c>
    </row>
    <row r="1124" spans="2:4">
      <c r="B1124" s="5">
        <f>SUMIF(Pagamenti!E$2:E1240,A1124,Pagamenti!D$2:D1240)</f>
        <v>0</v>
      </c>
      <c r="C1124" s="17">
        <f>IFERROR(VLOOKUP(A1124,'Codici ATECO 2022'!A$2:C1240,3),0)</f>
        <v>0</v>
      </c>
      <c r="D1124" s="5">
        <f t="shared" si="4"/>
        <v>0</v>
      </c>
    </row>
    <row r="1125" spans="2:4">
      <c r="B1125" s="5">
        <f>SUMIF(Pagamenti!E$2:E1240,A1125,Pagamenti!D$2:D1240)</f>
        <v>0</v>
      </c>
      <c r="C1125" s="17">
        <f>IFERROR(VLOOKUP(A1125,'Codici ATECO 2022'!A$2:C1240,3),0)</f>
        <v>0</v>
      </c>
      <c r="D1125" s="5">
        <f t="shared" si="4"/>
        <v>0</v>
      </c>
    </row>
    <row r="1126" spans="2:4">
      <c r="B1126" s="5">
        <f>SUMIF(Pagamenti!E$2:E1240,A1126,Pagamenti!D$2:D1240)</f>
        <v>0</v>
      </c>
      <c r="C1126" s="17">
        <f>IFERROR(VLOOKUP(A1126,'Codici ATECO 2022'!A$2:C1240,3),0)</f>
        <v>0</v>
      </c>
      <c r="D1126" s="5">
        <f t="shared" si="4"/>
        <v>0</v>
      </c>
    </row>
    <row r="1127" spans="2:4">
      <c r="B1127" s="5">
        <f>SUMIF(Pagamenti!E$2:E1240,A1127,Pagamenti!D$2:D1240)</f>
        <v>0</v>
      </c>
      <c r="C1127" s="17">
        <f>IFERROR(VLOOKUP(A1127,'Codici ATECO 2022'!A$2:C1240,3),0)</f>
        <v>0</v>
      </c>
      <c r="D1127" s="5">
        <f t="shared" si="4"/>
        <v>0</v>
      </c>
    </row>
    <row r="1128" spans="2:4">
      <c r="B1128" s="5">
        <f>SUMIF(Pagamenti!E$2:E1240,A1128,Pagamenti!D$2:D1240)</f>
        <v>0</v>
      </c>
      <c r="C1128" s="17">
        <f>IFERROR(VLOOKUP(A1128,'Codici ATECO 2022'!A$2:C1240,3),0)</f>
        <v>0</v>
      </c>
      <c r="D1128" s="5">
        <f t="shared" si="4"/>
        <v>0</v>
      </c>
    </row>
    <row r="1129" spans="2:4">
      <c r="B1129" s="5">
        <f>SUMIF(Pagamenti!E$2:E1240,A1129,Pagamenti!D$2:D1240)</f>
        <v>0</v>
      </c>
      <c r="C1129" s="17">
        <f>IFERROR(VLOOKUP(A1129,'Codici ATECO 2022'!A$2:C1240,3),0)</f>
        <v>0</v>
      </c>
      <c r="D1129" s="5">
        <f t="shared" si="4"/>
        <v>0</v>
      </c>
    </row>
    <row r="1130" spans="2:4">
      <c r="B1130" s="5">
        <f>SUMIF(Pagamenti!E$2:E1240,A1130,Pagamenti!D$2:D1240)</f>
        <v>0</v>
      </c>
      <c r="C1130" s="17">
        <f>IFERROR(VLOOKUP(A1130,'Codici ATECO 2022'!A$2:C1240,3),0)</f>
        <v>0</v>
      </c>
      <c r="D1130" s="5">
        <f t="shared" si="4"/>
        <v>0</v>
      </c>
    </row>
    <row r="1131" spans="2:4">
      <c r="B1131" s="5">
        <f>SUMIF(Pagamenti!E$2:E1240,A1131,Pagamenti!D$2:D1240)</f>
        <v>0</v>
      </c>
      <c r="C1131" s="17">
        <f>IFERROR(VLOOKUP(A1131,'Codici ATECO 2022'!A$2:C1240,3),0)</f>
        <v>0</v>
      </c>
      <c r="D1131" s="5">
        <f t="shared" si="4"/>
        <v>0</v>
      </c>
    </row>
    <row r="1132" spans="2:4">
      <c r="B1132" s="5">
        <f>SUMIF(Pagamenti!E$2:E1240,A1132,Pagamenti!D$2:D1240)</f>
        <v>0</v>
      </c>
      <c r="C1132" s="17">
        <f>IFERROR(VLOOKUP(A1132,'Codici ATECO 2022'!A$2:C1240,3),0)</f>
        <v>0</v>
      </c>
      <c r="D1132" s="5">
        <f t="shared" si="4"/>
        <v>0</v>
      </c>
    </row>
    <row r="1133" spans="2:4">
      <c r="B1133" s="5">
        <f>SUMIF(Pagamenti!E$2:E1240,A1133,Pagamenti!D$2:D1240)</f>
        <v>0</v>
      </c>
      <c r="C1133" s="17">
        <f>IFERROR(VLOOKUP(A1133,'Codici ATECO 2022'!A$2:C1240,3),0)</f>
        <v>0</v>
      </c>
      <c r="D1133" s="5">
        <f t="shared" si="4"/>
        <v>0</v>
      </c>
    </row>
    <row r="1134" spans="2:4">
      <c r="B1134" s="5">
        <f>SUMIF(Pagamenti!E$2:E1240,A1134,Pagamenti!D$2:D1240)</f>
        <v>0</v>
      </c>
      <c r="C1134" s="17">
        <f>IFERROR(VLOOKUP(A1134,'Codici ATECO 2022'!A$2:C1240,3),0)</f>
        <v>0</v>
      </c>
      <c r="D1134" s="5">
        <f t="shared" si="4"/>
        <v>0</v>
      </c>
    </row>
    <row r="1135" spans="2:4">
      <c r="B1135" s="5">
        <f>SUMIF(Pagamenti!E$2:E1240,A1135,Pagamenti!D$2:D1240)</f>
        <v>0</v>
      </c>
      <c r="C1135" s="17">
        <f>IFERROR(VLOOKUP(A1135,'Codici ATECO 2022'!A$2:C1240,3),0)</f>
        <v>0</v>
      </c>
      <c r="D1135" s="5">
        <f t="shared" si="4"/>
        <v>0</v>
      </c>
    </row>
    <row r="1136" spans="2:4">
      <c r="B1136" s="5">
        <f>SUMIF(Pagamenti!E$2:E1240,A1136,Pagamenti!D$2:D1240)</f>
        <v>0</v>
      </c>
      <c r="C1136" s="17">
        <f>IFERROR(VLOOKUP(A1136,'Codici ATECO 2022'!A$2:C1240,3),0)</f>
        <v>0</v>
      </c>
      <c r="D1136" s="5">
        <f t="shared" si="4"/>
        <v>0</v>
      </c>
    </row>
    <row r="1137" spans="2:4">
      <c r="B1137" s="5">
        <f>SUMIF(Pagamenti!E$2:E1240,A1137,Pagamenti!D$2:D1240)</f>
        <v>0</v>
      </c>
      <c r="C1137" s="17">
        <f>IFERROR(VLOOKUP(A1137,'Codici ATECO 2022'!A$2:C1240,3),0)</f>
        <v>0</v>
      </c>
      <c r="D1137" s="5">
        <f t="shared" si="4"/>
        <v>0</v>
      </c>
    </row>
    <row r="1138" spans="2:4">
      <c r="B1138" s="5">
        <f>SUMIF(Pagamenti!E$2:E1240,A1138,Pagamenti!D$2:D1240)</f>
        <v>0</v>
      </c>
      <c r="C1138" s="17">
        <f>IFERROR(VLOOKUP(A1138,'Codici ATECO 2022'!A$2:C1240,3),0)</f>
        <v>0</v>
      </c>
      <c r="D1138" s="5">
        <f t="shared" si="4"/>
        <v>0</v>
      </c>
    </row>
    <row r="1139" spans="2:4">
      <c r="B1139" s="5">
        <f>SUMIF(Pagamenti!E$2:E1240,A1139,Pagamenti!D$2:D1240)</f>
        <v>0</v>
      </c>
      <c r="C1139" s="17">
        <f>IFERROR(VLOOKUP(A1139,'Codici ATECO 2022'!A$2:C1240,3),0)</f>
        <v>0</v>
      </c>
      <c r="D1139" s="5">
        <f t="shared" si="4"/>
        <v>0</v>
      </c>
    </row>
    <row r="1140" spans="2:4">
      <c r="B1140" s="5">
        <f>SUMIF(Pagamenti!E$2:E1240,A1140,Pagamenti!D$2:D1240)</f>
        <v>0</v>
      </c>
      <c r="C1140" s="17">
        <f>IFERROR(VLOOKUP(A1140,'Codici ATECO 2022'!A$2:C1240,3),0)</f>
        <v>0</v>
      </c>
      <c r="D1140" s="5">
        <f t="shared" si="4"/>
        <v>0</v>
      </c>
    </row>
    <row r="1141" spans="2:4">
      <c r="B1141" s="5">
        <f>SUMIF(Pagamenti!E$2:E1240,A1141,Pagamenti!D$2:D1240)</f>
        <v>0</v>
      </c>
      <c r="C1141" s="17">
        <f>IFERROR(VLOOKUP(A1141,'Codici ATECO 2022'!A$2:C1240,3),0)</f>
        <v>0</v>
      </c>
      <c r="D1141" s="5">
        <f t="shared" si="4"/>
        <v>0</v>
      </c>
    </row>
    <row r="1142" spans="2:4">
      <c r="B1142" s="5">
        <f>SUMIF(Pagamenti!E$2:E1240,A1142,Pagamenti!D$2:D1240)</f>
        <v>0</v>
      </c>
      <c r="C1142" s="17">
        <f>IFERROR(VLOOKUP(A1142,'Codici ATECO 2022'!A$2:C1240,3),0)</f>
        <v>0</v>
      </c>
      <c r="D1142" s="5">
        <f t="shared" si="4"/>
        <v>0</v>
      </c>
    </row>
    <row r="1143" spans="2:4">
      <c r="B1143" s="5">
        <f>SUMIF(Pagamenti!E$2:E1240,A1143,Pagamenti!D$2:D1240)</f>
        <v>0</v>
      </c>
      <c r="C1143" s="17">
        <f>IFERROR(VLOOKUP(A1143,'Codici ATECO 2022'!A$2:C1240,3),0)</f>
        <v>0</v>
      </c>
      <c r="D1143" s="5">
        <f t="shared" si="4"/>
        <v>0</v>
      </c>
    </row>
    <row r="1144" spans="2:4">
      <c r="B1144" s="5">
        <f>SUMIF(Pagamenti!E$2:E1240,A1144,Pagamenti!D$2:D1240)</f>
        <v>0</v>
      </c>
      <c r="C1144" s="17">
        <f>IFERROR(VLOOKUP(A1144,'Codici ATECO 2022'!A$2:C1240,3),0)</f>
        <v>0</v>
      </c>
      <c r="D1144" s="5">
        <f t="shared" si="4"/>
        <v>0</v>
      </c>
    </row>
    <row r="1145" spans="2:4">
      <c r="B1145" s="5">
        <f>SUMIF(Pagamenti!E$2:E1240,A1145,Pagamenti!D$2:D1240)</f>
        <v>0</v>
      </c>
      <c r="C1145" s="17">
        <f>IFERROR(VLOOKUP(A1145,'Codici ATECO 2022'!A$2:C1240,3),0)</f>
        <v>0</v>
      </c>
      <c r="D1145" s="5">
        <f t="shared" si="4"/>
        <v>0</v>
      </c>
    </row>
    <row r="1146" spans="2:4">
      <c r="B1146" s="5">
        <f>SUMIF(Pagamenti!E$2:E1240,A1146,Pagamenti!D$2:D1240)</f>
        <v>0</v>
      </c>
      <c r="C1146" s="17">
        <f>IFERROR(VLOOKUP(A1146,'Codici ATECO 2022'!A$2:C1240,3),0)</f>
        <v>0</v>
      </c>
      <c r="D1146" s="5">
        <f t="shared" si="4"/>
        <v>0</v>
      </c>
    </row>
    <row r="1147" spans="2:4">
      <c r="B1147" s="5">
        <f>SUMIF(Pagamenti!E$2:E1240,A1147,Pagamenti!D$2:D1240)</f>
        <v>0</v>
      </c>
      <c r="C1147" s="17">
        <f>IFERROR(VLOOKUP(A1147,'Codici ATECO 2022'!A$2:C1240,3),0)</f>
        <v>0</v>
      </c>
      <c r="D1147" s="5">
        <f t="shared" si="4"/>
        <v>0</v>
      </c>
    </row>
    <row r="1148" spans="2:4">
      <c r="B1148" s="5">
        <f>SUMIF(Pagamenti!E$2:E1240,A1148,Pagamenti!D$2:D1240)</f>
        <v>0</v>
      </c>
      <c r="C1148" s="17">
        <f>IFERROR(VLOOKUP(A1148,'Codici ATECO 2022'!A$2:C1240,3),0)</f>
        <v>0</v>
      </c>
      <c r="D1148" s="5">
        <f t="shared" si="4"/>
        <v>0</v>
      </c>
    </row>
    <row r="1149" spans="2:4">
      <c r="B1149" s="5">
        <f>SUMIF(Pagamenti!E$2:E1240,A1149,Pagamenti!D$2:D1240)</f>
        <v>0</v>
      </c>
      <c r="C1149" s="17">
        <f>IFERROR(VLOOKUP(A1149,'Codici ATECO 2022'!A$2:C1240,3),0)</f>
        <v>0</v>
      </c>
      <c r="D1149" s="5">
        <f t="shared" si="4"/>
        <v>0</v>
      </c>
    </row>
    <row r="1150" spans="2:4">
      <c r="B1150" s="5">
        <f>SUMIF(Pagamenti!E$2:E1240,A1150,Pagamenti!D$2:D1240)</f>
        <v>0</v>
      </c>
      <c r="C1150" s="17">
        <f>IFERROR(VLOOKUP(A1150,'Codici ATECO 2022'!A$2:C1240,3),0)</f>
        <v>0</v>
      </c>
      <c r="D1150" s="5">
        <f t="shared" si="4"/>
        <v>0</v>
      </c>
    </row>
    <row r="1151" spans="2:4">
      <c r="B1151" s="5">
        <f>SUMIF(Pagamenti!E$2:E1240,A1151,Pagamenti!D$2:D1240)</f>
        <v>0</v>
      </c>
      <c r="C1151" s="17">
        <f>IFERROR(VLOOKUP(A1151,'Codici ATECO 2022'!A$2:C1240,3),0)</f>
        <v>0</v>
      </c>
      <c r="D1151" s="5">
        <f t="shared" si="4"/>
        <v>0</v>
      </c>
    </row>
    <row r="1152" spans="2:4">
      <c r="B1152" s="5">
        <f>SUMIF(Pagamenti!E$2:E1240,A1152,Pagamenti!D$2:D1240)</f>
        <v>0</v>
      </c>
      <c r="C1152" s="17">
        <f>IFERROR(VLOOKUP(A1152,'Codici ATECO 2022'!A$2:C1240,3),0)</f>
        <v>0</v>
      </c>
      <c r="D1152" s="5">
        <f t="shared" si="4"/>
        <v>0</v>
      </c>
    </row>
    <row r="1153" spans="2:4">
      <c r="B1153" s="5">
        <f>SUMIF(Pagamenti!E$2:E1240,A1153,Pagamenti!D$2:D1240)</f>
        <v>0</v>
      </c>
      <c r="C1153" s="17">
        <f>IFERROR(VLOOKUP(A1153,'Codici ATECO 2022'!A$2:C1240,3),0)</f>
        <v>0</v>
      </c>
      <c r="D1153" s="5">
        <f t="shared" si="4"/>
        <v>0</v>
      </c>
    </row>
    <row r="1154" spans="2:4">
      <c r="B1154" s="5">
        <f>SUMIF(Pagamenti!E$2:E1240,A1154,Pagamenti!D$2:D1240)</f>
        <v>0</v>
      </c>
      <c r="C1154" s="17">
        <f>IFERROR(VLOOKUP(A1154,'Codici ATECO 2022'!A$2:C1240,3),0)</f>
        <v>0</v>
      </c>
      <c r="D1154" s="5">
        <f t="shared" si="4"/>
        <v>0</v>
      </c>
    </row>
    <row r="1155" spans="2:4">
      <c r="B1155" s="5">
        <f>SUMIF(Pagamenti!E$2:E1240,A1155,Pagamenti!D$2:D1240)</f>
        <v>0</v>
      </c>
      <c r="C1155" s="17">
        <f>IFERROR(VLOOKUP(A1155,'Codici ATECO 2022'!A$2:C1240,3),0)</f>
        <v>0</v>
      </c>
      <c r="D1155" s="5">
        <f t="shared" si="4"/>
        <v>0</v>
      </c>
    </row>
    <row r="1156" spans="2:4">
      <c r="B1156" s="5">
        <f>SUMIF(Pagamenti!E$2:E1240,A1156,Pagamenti!D$2:D1240)</f>
        <v>0</v>
      </c>
      <c r="C1156" s="17">
        <f>IFERROR(VLOOKUP(A1156,'Codici ATECO 2022'!A$2:C1240,3),0)</f>
        <v>0</v>
      </c>
      <c r="D1156" s="5">
        <f t="shared" si="4"/>
        <v>0</v>
      </c>
    </row>
    <row r="1157" spans="2:4">
      <c r="B1157" s="5">
        <f>SUMIF(Pagamenti!E$2:E1240,A1157,Pagamenti!D$2:D1240)</f>
        <v>0</v>
      </c>
      <c r="C1157" s="17">
        <f>IFERROR(VLOOKUP(A1157,'Codici ATECO 2022'!A$2:C1240,3),0)</f>
        <v>0</v>
      </c>
      <c r="D1157" s="5">
        <f t="shared" si="4"/>
        <v>0</v>
      </c>
    </row>
    <row r="1158" spans="2:4">
      <c r="B1158" s="5">
        <f>SUMIF(Pagamenti!E$2:E1240,A1158,Pagamenti!D$2:D1240)</f>
        <v>0</v>
      </c>
      <c r="C1158" s="17">
        <f>IFERROR(VLOOKUP(A1158,'Codici ATECO 2022'!A$2:C1240,3),0)</f>
        <v>0</v>
      </c>
      <c r="D1158" s="5">
        <f t="shared" si="4"/>
        <v>0</v>
      </c>
    </row>
    <row r="1159" spans="2:4">
      <c r="B1159" s="5">
        <f>SUMIF(Pagamenti!E$2:E1240,A1159,Pagamenti!D$2:D1240)</f>
        <v>0</v>
      </c>
      <c r="C1159" s="17">
        <f>IFERROR(VLOOKUP(A1159,'Codici ATECO 2022'!A$2:C1240,3),0)</f>
        <v>0</v>
      </c>
      <c r="D1159" s="5">
        <f t="shared" si="4"/>
        <v>0</v>
      </c>
    </row>
    <row r="1160" spans="2:4">
      <c r="B1160" s="5">
        <f>SUMIF(Pagamenti!E$2:E1240,A1160,Pagamenti!D$2:D1240)</f>
        <v>0</v>
      </c>
      <c r="C1160" s="17">
        <f>IFERROR(VLOOKUP(A1160,'Codici ATECO 2022'!A$2:C1240,3),0)</f>
        <v>0</v>
      </c>
      <c r="D1160" s="5">
        <f t="shared" si="4"/>
        <v>0</v>
      </c>
    </row>
    <row r="1161" spans="2:4">
      <c r="B1161" s="5">
        <f>SUMIF(Pagamenti!E$2:E1240,A1161,Pagamenti!D$2:D1240)</f>
        <v>0</v>
      </c>
      <c r="C1161" s="17">
        <f>IFERROR(VLOOKUP(A1161,'Codici ATECO 2022'!A$2:C1240,3),0)</f>
        <v>0</v>
      </c>
      <c r="D1161" s="5">
        <f t="shared" si="4"/>
        <v>0</v>
      </c>
    </row>
    <row r="1162" spans="2:4">
      <c r="B1162" s="5">
        <f>SUMIF(Pagamenti!E$2:E1240,A1162,Pagamenti!D$2:D1240)</f>
        <v>0</v>
      </c>
      <c r="C1162" s="17">
        <f>IFERROR(VLOOKUP(A1162,'Codici ATECO 2022'!A$2:C1240,3),0)</f>
        <v>0</v>
      </c>
      <c r="D1162" s="5">
        <f t="shared" si="4"/>
        <v>0</v>
      </c>
    </row>
    <row r="1163" spans="2:4">
      <c r="B1163" s="5">
        <f>SUMIF(Pagamenti!E$2:E1240,A1163,Pagamenti!D$2:D1240)</f>
        <v>0</v>
      </c>
      <c r="C1163" s="17">
        <f>IFERROR(VLOOKUP(A1163,'Codici ATECO 2022'!A$2:C1240,3),0)</f>
        <v>0</v>
      </c>
      <c r="D1163" s="5">
        <f t="shared" si="4"/>
        <v>0</v>
      </c>
    </row>
    <row r="1164" spans="2:4">
      <c r="B1164" s="5">
        <f>SUMIF(Pagamenti!E$2:E1240,A1164,Pagamenti!D$2:D1240)</f>
        <v>0</v>
      </c>
      <c r="C1164" s="17">
        <f>IFERROR(VLOOKUP(A1164,'Codici ATECO 2022'!A$2:C1240,3),0)</f>
        <v>0</v>
      </c>
      <c r="D1164" s="5">
        <f t="shared" si="4"/>
        <v>0</v>
      </c>
    </row>
    <row r="1165" spans="2:4">
      <c r="B1165" s="5">
        <f>SUMIF(Pagamenti!E$2:E1240,A1165,Pagamenti!D$2:D1240)</f>
        <v>0</v>
      </c>
      <c r="C1165" s="17">
        <f>IFERROR(VLOOKUP(A1165,'Codici ATECO 2022'!A$2:C1240,3),0)</f>
        <v>0</v>
      </c>
      <c r="D1165" s="5">
        <f t="shared" si="4"/>
        <v>0</v>
      </c>
    </row>
    <row r="1166" spans="2:4">
      <c r="B1166" s="5">
        <f>SUMIF(Pagamenti!E$2:E1240,A1166,Pagamenti!D$2:D1240)</f>
        <v>0</v>
      </c>
      <c r="C1166" s="17">
        <f>IFERROR(VLOOKUP(A1166,'Codici ATECO 2022'!A$2:C1240,3),0)</f>
        <v>0</v>
      </c>
      <c r="D1166" s="5">
        <f t="shared" si="4"/>
        <v>0</v>
      </c>
    </row>
    <row r="1167" spans="2:4">
      <c r="B1167" s="5">
        <f>SUMIF(Pagamenti!E$2:E1240,A1167,Pagamenti!D$2:D1240)</f>
        <v>0</v>
      </c>
      <c r="C1167" s="17">
        <f>IFERROR(VLOOKUP(A1167,'Codici ATECO 2022'!A$2:C1240,3),0)</f>
        <v>0</v>
      </c>
      <c r="D1167" s="5">
        <f t="shared" si="4"/>
        <v>0</v>
      </c>
    </row>
    <row r="1168" spans="2:4">
      <c r="B1168" s="5">
        <f>SUMIF(Pagamenti!E$2:E1240,A1168,Pagamenti!D$2:D1240)</f>
        <v>0</v>
      </c>
      <c r="C1168" s="17">
        <f>IFERROR(VLOOKUP(A1168,'Codici ATECO 2022'!A$2:C1240,3),0)</f>
        <v>0</v>
      </c>
      <c r="D1168" s="5">
        <f t="shared" si="4"/>
        <v>0</v>
      </c>
    </row>
    <row r="1169" spans="2:4">
      <c r="B1169" s="5">
        <f>SUMIF(Pagamenti!E$2:E1240,A1169,Pagamenti!D$2:D1240)</f>
        <v>0</v>
      </c>
      <c r="C1169" s="17">
        <f>IFERROR(VLOOKUP(A1169,'Codici ATECO 2022'!A$2:C1240,3),0)</f>
        <v>0</v>
      </c>
      <c r="D1169" s="5">
        <f t="shared" si="4"/>
        <v>0</v>
      </c>
    </row>
    <row r="1170" spans="2:4">
      <c r="B1170" s="5">
        <f>SUMIF(Pagamenti!E$2:E1240,A1170,Pagamenti!D$2:D1240)</f>
        <v>0</v>
      </c>
      <c r="C1170" s="17">
        <f>IFERROR(VLOOKUP(A1170,'Codici ATECO 2022'!A$2:C1240,3),0)</f>
        <v>0</v>
      </c>
      <c r="D1170" s="5">
        <f t="shared" si="4"/>
        <v>0</v>
      </c>
    </row>
    <row r="1171" spans="2:4">
      <c r="B1171" s="5">
        <f>SUMIF(Pagamenti!E$2:E1240,A1171,Pagamenti!D$2:D1240)</f>
        <v>0</v>
      </c>
      <c r="C1171" s="17">
        <f>IFERROR(VLOOKUP(A1171,'Codici ATECO 2022'!A$2:C1240,3),0)</f>
        <v>0</v>
      </c>
      <c r="D1171" s="5">
        <f t="shared" si="4"/>
        <v>0</v>
      </c>
    </row>
    <row r="1172" spans="2:4">
      <c r="B1172" s="5">
        <f>SUMIF(Pagamenti!E$2:E1240,A1172,Pagamenti!D$2:D1240)</f>
        <v>0</v>
      </c>
      <c r="C1172" s="17">
        <f>IFERROR(VLOOKUP(A1172,'Codici ATECO 2022'!A$2:C1240,3),0)</f>
        <v>0</v>
      </c>
      <c r="D1172" s="5">
        <f t="shared" si="4"/>
        <v>0</v>
      </c>
    </row>
    <row r="1173" spans="2:4">
      <c r="B1173" s="5">
        <f>SUMIF(Pagamenti!E$2:E1240,A1173,Pagamenti!D$2:D1240)</f>
        <v>0</v>
      </c>
      <c r="C1173" s="17">
        <f>IFERROR(VLOOKUP(A1173,'Codici ATECO 2022'!A$2:C1240,3),0)</f>
        <v>0</v>
      </c>
      <c r="D1173" s="5">
        <f t="shared" si="4"/>
        <v>0</v>
      </c>
    </row>
    <row r="1174" spans="2:4">
      <c r="B1174" s="5">
        <f>SUMIF(Pagamenti!E$2:E1240,A1174,Pagamenti!D$2:D1240)</f>
        <v>0</v>
      </c>
      <c r="C1174" s="17">
        <f>IFERROR(VLOOKUP(A1174,'Codici ATECO 2022'!A$2:C1240,3),0)</f>
        <v>0</v>
      </c>
      <c r="D1174" s="5">
        <f t="shared" si="4"/>
        <v>0</v>
      </c>
    </row>
    <row r="1175" spans="2:4">
      <c r="B1175" s="5">
        <f>SUMIF(Pagamenti!E$2:E1240,A1175,Pagamenti!D$2:D1240)</f>
        <v>0</v>
      </c>
      <c r="C1175" s="17">
        <f>IFERROR(VLOOKUP(A1175,'Codici ATECO 2022'!A$2:C1240,3),0)</f>
        <v>0</v>
      </c>
      <c r="D1175" s="5">
        <f t="shared" si="4"/>
        <v>0</v>
      </c>
    </row>
    <row r="1176" spans="2:4">
      <c r="B1176" s="5">
        <f>SUMIF(Pagamenti!E$2:E1240,A1176,Pagamenti!D$2:D1240)</f>
        <v>0</v>
      </c>
      <c r="C1176" s="17">
        <f>IFERROR(VLOOKUP(A1176,'Codici ATECO 2022'!A$2:C1240,3),0)</f>
        <v>0</v>
      </c>
      <c r="D1176" s="5">
        <f t="shared" si="4"/>
        <v>0</v>
      </c>
    </row>
    <row r="1177" spans="2:4">
      <c r="B1177" s="5">
        <f>SUMIF(Pagamenti!E$2:E1240,A1177,Pagamenti!D$2:D1240)</f>
        <v>0</v>
      </c>
      <c r="C1177" s="17">
        <f>IFERROR(VLOOKUP(A1177,'Codici ATECO 2022'!A$2:C1240,3),0)</f>
        <v>0</v>
      </c>
      <c r="D1177" s="5">
        <f t="shared" si="4"/>
        <v>0</v>
      </c>
    </row>
    <row r="1178" spans="2:4">
      <c r="B1178" s="5">
        <f>SUMIF(Pagamenti!E$2:E1240,A1178,Pagamenti!D$2:D1240)</f>
        <v>0</v>
      </c>
      <c r="C1178" s="17">
        <f>IFERROR(VLOOKUP(A1178,'Codici ATECO 2022'!A$2:C1240,3),0)</f>
        <v>0</v>
      </c>
      <c r="D1178" s="5">
        <f t="shared" si="4"/>
        <v>0</v>
      </c>
    </row>
    <row r="1179" spans="2:4">
      <c r="B1179" s="5">
        <f>SUMIF(Pagamenti!E$2:E1240,A1179,Pagamenti!D$2:D1240)</f>
        <v>0</v>
      </c>
      <c r="C1179" s="17">
        <f>IFERROR(VLOOKUP(A1179,'Codici ATECO 2022'!A$2:C1240,3),0)</f>
        <v>0</v>
      </c>
      <c r="D1179" s="5">
        <f t="shared" si="4"/>
        <v>0</v>
      </c>
    </row>
    <row r="1180" spans="2:4">
      <c r="B1180" s="5">
        <f>SUMIF(Pagamenti!E$2:E1240,A1180,Pagamenti!D$2:D1240)</f>
        <v>0</v>
      </c>
      <c r="C1180" s="17">
        <f>IFERROR(VLOOKUP(A1180,'Codici ATECO 2022'!A$2:C1240,3),0)</f>
        <v>0</v>
      </c>
      <c r="D1180" s="5">
        <f t="shared" si="4"/>
        <v>0</v>
      </c>
    </row>
    <row r="1181" spans="2:4">
      <c r="B1181" s="5">
        <f>SUMIF(Pagamenti!E$2:E1240,A1181,Pagamenti!D$2:D1240)</f>
        <v>0</v>
      </c>
      <c r="C1181" s="17">
        <f>IFERROR(VLOOKUP(A1181,'Codici ATECO 2022'!A$2:C1240,3),0)</f>
        <v>0</v>
      </c>
      <c r="D1181" s="5">
        <f t="shared" si="4"/>
        <v>0</v>
      </c>
    </row>
    <row r="1182" spans="2:4">
      <c r="B1182" s="5">
        <f>SUMIF(Pagamenti!E$2:E1240,A1182,Pagamenti!D$2:D1240)</f>
        <v>0</v>
      </c>
      <c r="C1182" s="17">
        <f>IFERROR(VLOOKUP(A1182,'Codici ATECO 2022'!A$2:C1240,3),0)</f>
        <v>0</v>
      </c>
      <c r="D1182" s="5">
        <f t="shared" si="4"/>
        <v>0</v>
      </c>
    </row>
    <row r="1183" spans="2:4">
      <c r="B1183" s="5">
        <f>SUMIF(Pagamenti!E$2:E1240,A1183,Pagamenti!D$2:D1240)</f>
        <v>0</v>
      </c>
      <c r="C1183" s="17">
        <f>IFERROR(VLOOKUP(A1183,'Codici ATECO 2022'!A$2:C1240,3),0)</f>
        <v>0</v>
      </c>
      <c r="D1183" s="5">
        <f t="shared" si="4"/>
        <v>0</v>
      </c>
    </row>
    <row r="1184" spans="2:4">
      <c r="B1184" s="5">
        <f>SUMIF(Pagamenti!E$2:E1240,A1184,Pagamenti!D$2:D1240)</f>
        <v>0</v>
      </c>
      <c r="C1184" s="17">
        <f>IFERROR(VLOOKUP(A1184,'Codici ATECO 2022'!A$2:C1240,3),0)</f>
        <v>0</v>
      </c>
      <c r="D1184" s="5">
        <f t="shared" si="4"/>
        <v>0</v>
      </c>
    </row>
    <row r="1185" spans="2:4">
      <c r="B1185" s="5">
        <f>SUMIF(Pagamenti!E$2:E1240,A1185,Pagamenti!D$2:D1240)</f>
        <v>0</v>
      </c>
      <c r="C1185" s="17">
        <f>IFERROR(VLOOKUP(A1185,'Codici ATECO 2022'!A$2:C1240,3),0)</f>
        <v>0</v>
      </c>
      <c r="D1185" s="5">
        <f t="shared" si="4"/>
        <v>0</v>
      </c>
    </row>
    <row r="1186" spans="2:4">
      <c r="B1186" s="5">
        <f>SUMIF(Pagamenti!E$2:E1240,A1186,Pagamenti!D$2:D1240)</f>
        <v>0</v>
      </c>
      <c r="C1186" s="17">
        <f>IFERROR(VLOOKUP(A1186,'Codici ATECO 2022'!A$2:C1240,3),0)</f>
        <v>0</v>
      </c>
      <c r="D1186" s="5">
        <f t="shared" si="4"/>
        <v>0</v>
      </c>
    </row>
    <row r="1187" spans="2:4">
      <c r="B1187" s="5">
        <f>SUMIF(Pagamenti!E$2:E1240,A1187,Pagamenti!D$2:D1240)</f>
        <v>0</v>
      </c>
      <c r="C1187" s="17">
        <f>IFERROR(VLOOKUP(A1187,'Codici ATECO 2022'!A$2:C1240,3),0)</f>
        <v>0</v>
      </c>
      <c r="D1187" s="5">
        <f t="shared" si="4"/>
        <v>0</v>
      </c>
    </row>
    <row r="1188" spans="2:4">
      <c r="B1188" s="5">
        <f>SUMIF(Pagamenti!E$2:E1240,A1188,Pagamenti!D$2:D1240)</f>
        <v>0</v>
      </c>
      <c r="C1188" s="17">
        <f>IFERROR(VLOOKUP(A1188,'Codici ATECO 2022'!A$2:C1240,3),0)</f>
        <v>0</v>
      </c>
      <c r="D1188" s="5">
        <f t="shared" si="4"/>
        <v>0</v>
      </c>
    </row>
    <row r="1189" spans="2:4">
      <c r="B1189" s="5">
        <f>SUMIF(Pagamenti!E$2:E1240,A1189,Pagamenti!D$2:D1240)</f>
        <v>0</v>
      </c>
      <c r="C1189" s="17">
        <f>IFERROR(VLOOKUP(A1189,'Codici ATECO 2022'!A$2:C1240,3),0)</f>
        <v>0</v>
      </c>
      <c r="D1189" s="5">
        <f t="shared" si="4"/>
        <v>0</v>
      </c>
    </row>
    <row r="1190" spans="2:4">
      <c r="B1190" s="5">
        <f>SUMIF(Pagamenti!E$2:E1240,A1190,Pagamenti!D$2:D1240)</f>
        <v>0</v>
      </c>
      <c r="C1190" s="17">
        <f>IFERROR(VLOOKUP(A1190,'Codici ATECO 2022'!A$2:C1240,3),0)</f>
        <v>0</v>
      </c>
      <c r="D1190" s="5">
        <f t="shared" si="4"/>
        <v>0</v>
      </c>
    </row>
    <row r="1191" spans="2:4">
      <c r="B1191" s="5">
        <f>SUMIF(Pagamenti!E$2:E1240,A1191,Pagamenti!D$2:D1240)</f>
        <v>0</v>
      </c>
      <c r="C1191" s="17">
        <f>IFERROR(VLOOKUP(A1191,'Codici ATECO 2022'!A$2:C1240,3),0)</f>
        <v>0</v>
      </c>
      <c r="D1191" s="5">
        <f t="shared" si="4"/>
        <v>0</v>
      </c>
    </row>
    <row r="1192" spans="2:4">
      <c r="B1192" s="5">
        <f>SUMIF(Pagamenti!E$2:E1240,A1192,Pagamenti!D$2:D1240)</f>
        <v>0</v>
      </c>
      <c r="C1192" s="17">
        <f>IFERROR(VLOOKUP(A1192,'Codici ATECO 2022'!A$2:C1240,3),0)</f>
        <v>0</v>
      </c>
      <c r="D1192" s="5">
        <f t="shared" si="4"/>
        <v>0</v>
      </c>
    </row>
    <row r="1193" spans="2:4">
      <c r="B1193" s="5">
        <f>SUMIF(Pagamenti!E$2:E1240,A1193,Pagamenti!D$2:D1240)</f>
        <v>0</v>
      </c>
      <c r="C1193" s="17">
        <f>IFERROR(VLOOKUP(A1193,'Codici ATECO 2022'!A$2:C1240,3),0)</f>
        <v>0</v>
      </c>
      <c r="D1193" s="5">
        <f t="shared" si="4"/>
        <v>0</v>
      </c>
    </row>
    <row r="1194" spans="2:4">
      <c r="B1194" s="5">
        <f>SUMIF(Pagamenti!E$2:E1240,A1194,Pagamenti!D$2:D1240)</f>
        <v>0</v>
      </c>
      <c r="C1194" s="17">
        <f>IFERROR(VLOOKUP(A1194,'Codici ATECO 2022'!A$2:C1240,3),0)</f>
        <v>0</v>
      </c>
      <c r="D1194" s="5">
        <f t="shared" si="4"/>
        <v>0</v>
      </c>
    </row>
    <row r="1195" spans="2:4">
      <c r="B1195" s="5">
        <f>SUMIF(Pagamenti!E$2:E1240,A1195,Pagamenti!D$2:D1240)</f>
        <v>0</v>
      </c>
      <c r="C1195" s="17">
        <f>IFERROR(VLOOKUP(A1195,'Codici ATECO 2022'!A$2:C1240,3),0)</f>
        <v>0</v>
      </c>
      <c r="D1195" s="5">
        <f t="shared" si="4"/>
        <v>0</v>
      </c>
    </row>
    <row r="1196" spans="2:4">
      <c r="B1196" s="5">
        <f>SUMIF(Pagamenti!E$2:E1240,A1196,Pagamenti!D$2:D1240)</f>
        <v>0</v>
      </c>
      <c r="C1196" s="17">
        <f>IFERROR(VLOOKUP(A1196,'Codici ATECO 2022'!A$2:C1240,3),0)</f>
        <v>0</v>
      </c>
      <c r="D1196" s="5">
        <f t="shared" si="4"/>
        <v>0</v>
      </c>
    </row>
    <row r="1197" spans="2:4">
      <c r="B1197" s="5">
        <f>SUMIF(Pagamenti!E$2:E1240,A1197,Pagamenti!D$2:D1240)</f>
        <v>0</v>
      </c>
      <c r="C1197" s="17">
        <f>IFERROR(VLOOKUP(A1197,'Codici ATECO 2022'!A$2:C1240,3),0)</f>
        <v>0</v>
      </c>
      <c r="D1197" s="5">
        <f t="shared" si="4"/>
        <v>0</v>
      </c>
    </row>
    <row r="1198" spans="2:4">
      <c r="B1198" s="5">
        <f>SUMIF(Pagamenti!E$2:E1240,A1198,Pagamenti!D$2:D1240)</f>
        <v>0</v>
      </c>
      <c r="C1198" s="17">
        <f>IFERROR(VLOOKUP(A1198,'Codici ATECO 2022'!A$2:C1240,3),0)</f>
        <v>0</v>
      </c>
      <c r="D1198" s="5">
        <f t="shared" si="4"/>
        <v>0</v>
      </c>
    </row>
    <row r="1199" spans="2:4">
      <c r="B1199" s="5">
        <f>SUMIF(Pagamenti!E$2:E1240,A1199,Pagamenti!D$2:D1240)</f>
        <v>0</v>
      </c>
      <c r="C1199" s="17">
        <f>IFERROR(VLOOKUP(A1199,'Codici ATECO 2022'!A$2:C1240,3),0)</f>
        <v>0</v>
      </c>
      <c r="D1199" s="5">
        <f t="shared" si="4"/>
        <v>0</v>
      </c>
    </row>
    <row r="1200" spans="2:4">
      <c r="B1200" s="5">
        <f>SUMIF(Pagamenti!E$2:E1240,A1200,Pagamenti!D$2:D1240)</f>
        <v>0</v>
      </c>
      <c r="C1200" s="17">
        <f>IFERROR(VLOOKUP(A1200,'Codici ATECO 2022'!A$2:C1240,3),0)</f>
        <v>0</v>
      </c>
      <c r="D1200" s="5">
        <f t="shared" si="4"/>
        <v>0</v>
      </c>
    </row>
    <row r="1201" spans="2:4">
      <c r="B1201" s="5">
        <f>SUMIF(Pagamenti!E$2:E1240,A1201,Pagamenti!D$2:D1240)</f>
        <v>0</v>
      </c>
      <c r="C1201" s="17">
        <f>IFERROR(VLOOKUP(A1201,'Codici ATECO 2022'!A$2:C1240,3),0)</f>
        <v>0</v>
      </c>
      <c r="D1201" s="5">
        <f t="shared" si="4"/>
        <v>0</v>
      </c>
    </row>
    <row r="1202" spans="2:4">
      <c r="B1202" s="5">
        <f>SUMIF(Pagamenti!E$2:E1240,A1202,Pagamenti!D$2:D1240)</f>
        <v>0</v>
      </c>
      <c r="C1202" s="17">
        <f>IFERROR(VLOOKUP(A1202,'Codici ATECO 2022'!A$2:C1240,3),0)</f>
        <v>0</v>
      </c>
      <c r="D1202" s="5">
        <f t="shared" si="4"/>
        <v>0</v>
      </c>
    </row>
    <row r="1203" spans="2:4">
      <c r="B1203" s="5">
        <f>SUMIF(Pagamenti!E$2:E1240,A1203,Pagamenti!D$2:D1240)</f>
        <v>0</v>
      </c>
      <c r="C1203" s="17">
        <f>IFERROR(VLOOKUP(A1203,'Codici ATECO 2022'!A$2:C1240,3),0)</f>
        <v>0</v>
      </c>
      <c r="D1203" s="5">
        <f t="shared" si="4"/>
        <v>0</v>
      </c>
    </row>
    <row r="1204" spans="2:4">
      <c r="B1204" s="5">
        <f>SUMIF(Pagamenti!E$2:E1240,A1204,Pagamenti!D$2:D1240)</f>
        <v>0</v>
      </c>
      <c r="C1204" s="17">
        <f>IFERROR(VLOOKUP(A1204,'Codici ATECO 2022'!A$2:C1240,3),0)</f>
        <v>0</v>
      </c>
      <c r="D1204" s="5">
        <f t="shared" si="4"/>
        <v>0</v>
      </c>
    </row>
    <row r="1205" spans="2:4">
      <c r="B1205" s="5">
        <f>SUMIF(Pagamenti!E$2:E1240,A1205,Pagamenti!D$2:D1240)</f>
        <v>0</v>
      </c>
      <c r="C1205" s="17">
        <f>IFERROR(VLOOKUP(A1205,'Codici ATECO 2022'!A$2:C1240,3),0)</f>
        <v>0</v>
      </c>
      <c r="D1205" s="5">
        <f t="shared" si="4"/>
        <v>0</v>
      </c>
    </row>
    <row r="1206" spans="2:4">
      <c r="B1206" s="5">
        <f>SUMIF(Pagamenti!E$2:E1240,A1206,Pagamenti!D$2:D1240)</f>
        <v>0</v>
      </c>
      <c r="C1206" s="17">
        <f>IFERROR(VLOOKUP(A1206,'Codici ATECO 2022'!A$2:C1240,3),0)</f>
        <v>0</v>
      </c>
      <c r="D1206" s="5">
        <f t="shared" si="4"/>
        <v>0</v>
      </c>
    </row>
    <row r="1207" spans="2:4">
      <c r="B1207" s="5">
        <f>SUMIF(Pagamenti!E$2:E1240,A1207,Pagamenti!D$2:D1240)</f>
        <v>0</v>
      </c>
      <c r="C1207" s="17">
        <f>IFERROR(VLOOKUP(A1207,'Codici ATECO 2022'!A$2:C1240,3),0)</f>
        <v>0</v>
      </c>
      <c r="D1207" s="5">
        <f t="shared" si="4"/>
        <v>0</v>
      </c>
    </row>
    <row r="1208" spans="2:4">
      <c r="B1208" s="5">
        <f>SUMIF(Pagamenti!E$2:E1240,A1208,Pagamenti!D$2:D1240)</f>
        <v>0</v>
      </c>
      <c r="C1208" s="17">
        <f>IFERROR(VLOOKUP(A1208,'Codici ATECO 2022'!A$2:C1240,3),0)</f>
        <v>0</v>
      </c>
      <c r="D1208" s="5">
        <f t="shared" si="4"/>
        <v>0</v>
      </c>
    </row>
    <row r="1209" spans="2:4">
      <c r="B1209" s="5">
        <f>SUMIF(Pagamenti!E$2:E1240,A1209,Pagamenti!D$2:D1240)</f>
        <v>0</v>
      </c>
      <c r="C1209" s="17">
        <f>IFERROR(VLOOKUP(A1209,'Codici ATECO 2022'!A$2:C1240,3),0)</f>
        <v>0</v>
      </c>
      <c r="D1209" s="5">
        <f t="shared" si="4"/>
        <v>0</v>
      </c>
    </row>
    <row r="1210" spans="2:4">
      <c r="B1210" s="5">
        <f>SUMIF(Pagamenti!E$2:E1240,A1210,Pagamenti!D$2:D1240)</f>
        <v>0</v>
      </c>
      <c r="C1210" s="17">
        <f>IFERROR(VLOOKUP(A1210,'Codici ATECO 2022'!A$2:C1240,3),0)</f>
        <v>0</v>
      </c>
      <c r="D1210" s="5">
        <f t="shared" si="4"/>
        <v>0</v>
      </c>
    </row>
    <row r="1211" spans="2:4">
      <c r="B1211" s="5">
        <f>SUMIF(Pagamenti!E$2:E1240,A1211,Pagamenti!D$2:D1240)</f>
        <v>0</v>
      </c>
      <c r="C1211" s="17">
        <f>IFERROR(VLOOKUP(A1211,'Codici ATECO 2022'!A$2:C1240,3),0)</f>
        <v>0</v>
      </c>
      <c r="D1211" s="5">
        <f t="shared" si="4"/>
        <v>0</v>
      </c>
    </row>
    <row r="1212" spans="2:4">
      <c r="B1212" s="5">
        <f>SUMIF(Pagamenti!E$2:E1240,A1212,Pagamenti!D$2:D1240)</f>
        <v>0</v>
      </c>
      <c r="C1212" s="17">
        <f>IFERROR(VLOOKUP(A1212,'Codici ATECO 2022'!A$2:C1240,3),0)</f>
        <v>0</v>
      </c>
      <c r="D1212" s="5">
        <f t="shared" si="4"/>
        <v>0</v>
      </c>
    </row>
    <row r="1213" spans="2:4">
      <c r="B1213" s="5">
        <f>SUMIF(Pagamenti!E$2:E1240,A1213,Pagamenti!D$2:D1240)</f>
        <v>0</v>
      </c>
      <c r="C1213" s="17">
        <f>IFERROR(VLOOKUP(A1213,'Codici ATECO 2022'!A$2:C1240,3),0)</f>
        <v>0</v>
      </c>
      <c r="D1213" s="5">
        <f t="shared" si="4"/>
        <v>0</v>
      </c>
    </row>
    <row r="1214" spans="2:4">
      <c r="B1214" s="5">
        <f>SUMIF(Pagamenti!E$2:E1240,A1214,Pagamenti!D$2:D1240)</f>
        <v>0</v>
      </c>
      <c r="C1214" s="17">
        <f>IFERROR(VLOOKUP(A1214,'Codici ATECO 2022'!A$2:C1240,3),0)</f>
        <v>0</v>
      </c>
      <c r="D1214" s="5">
        <f t="shared" si="4"/>
        <v>0</v>
      </c>
    </row>
    <row r="1215" spans="2:4">
      <c r="B1215" s="5">
        <f>SUMIF(Pagamenti!E$2:E1240,A1215,Pagamenti!D$2:D1240)</f>
        <v>0</v>
      </c>
      <c r="C1215" s="17">
        <f>IFERROR(VLOOKUP(A1215,'Codici ATECO 2022'!A$2:C1240,3),0)</f>
        <v>0</v>
      </c>
      <c r="D1215" s="5">
        <f t="shared" si="4"/>
        <v>0</v>
      </c>
    </row>
    <row r="1216" spans="2:4">
      <c r="B1216" s="5">
        <f>SUMIF(Pagamenti!E$2:E1240,A1216,Pagamenti!D$2:D1240)</f>
        <v>0</v>
      </c>
      <c r="C1216" s="17">
        <f>IFERROR(VLOOKUP(A1216,'Codici ATECO 2022'!A$2:C1240,3),0)</f>
        <v>0</v>
      </c>
      <c r="D1216" s="5">
        <f t="shared" si="4"/>
        <v>0</v>
      </c>
    </row>
    <row r="1217" spans="2:4">
      <c r="B1217" s="5">
        <f>SUMIF(Pagamenti!E$2:E1240,A1217,Pagamenti!D$2:D1240)</f>
        <v>0</v>
      </c>
      <c r="C1217" s="17">
        <f>IFERROR(VLOOKUP(A1217,'Codici ATECO 2022'!A$2:C1240,3),0)</f>
        <v>0</v>
      </c>
      <c r="D1217" s="5">
        <f t="shared" si="4"/>
        <v>0</v>
      </c>
    </row>
    <row r="1218" spans="2:4">
      <c r="B1218" s="5">
        <f>SUMIF(Pagamenti!E$2:E1240,A1218,Pagamenti!D$2:D1240)</f>
        <v>0</v>
      </c>
      <c r="C1218" s="17">
        <f>IFERROR(VLOOKUP(A1218,'Codici ATECO 2022'!A$2:C1240,3),0)</f>
        <v>0</v>
      </c>
      <c r="D1218" s="5">
        <f t="shared" si="4"/>
        <v>0</v>
      </c>
    </row>
    <row r="1219" spans="2:4">
      <c r="B1219" s="5">
        <f>SUMIF(Pagamenti!E$2:E1240,A1219,Pagamenti!D$2:D1240)</f>
        <v>0</v>
      </c>
      <c r="C1219" s="17">
        <f>IFERROR(VLOOKUP(A1219,'Codici ATECO 2022'!A$2:C1240,3),0)</f>
        <v>0</v>
      </c>
      <c r="D1219" s="5">
        <f t="shared" si="4"/>
        <v>0</v>
      </c>
    </row>
    <row r="1220" spans="2:4">
      <c r="B1220" s="5">
        <f>SUMIF(Pagamenti!E$2:E1240,A1220,Pagamenti!D$2:D1240)</f>
        <v>0</v>
      </c>
      <c r="C1220" s="17">
        <f>IFERROR(VLOOKUP(A1220,'Codici ATECO 2022'!A$2:C1240,3),0)</f>
        <v>0</v>
      </c>
      <c r="D1220" s="5">
        <f t="shared" si="4"/>
        <v>0</v>
      </c>
    </row>
    <row r="1221" spans="2:4">
      <c r="B1221" s="5">
        <f>SUMIF(Pagamenti!E$2:E1240,A1221,Pagamenti!D$2:D1240)</f>
        <v>0</v>
      </c>
      <c r="C1221" s="17">
        <f>IFERROR(VLOOKUP(A1221,'Codici ATECO 2022'!A$2:C1240,3),0)</f>
        <v>0</v>
      </c>
      <c r="D1221" s="5">
        <f t="shared" si="4"/>
        <v>0</v>
      </c>
    </row>
    <row r="1222" spans="2:4">
      <c r="B1222" s="5">
        <f>SUMIF(Pagamenti!E$2:E1240,A1222,Pagamenti!D$2:D1240)</f>
        <v>0</v>
      </c>
      <c r="C1222" s="17">
        <f>IFERROR(VLOOKUP(A1222,'Codici ATECO 2022'!A$2:C1240,3),0)</f>
        <v>0</v>
      </c>
      <c r="D1222" s="5">
        <f t="shared" si="4"/>
        <v>0</v>
      </c>
    </row>
    <row r="1223" spans="2:4">
      <c r="B1223" s="5">
        <f>SUMIF(Pagamenti!E$2:E1240,A1223,Pagamenti!D$2:D1240)</f>
        <v>0</v>
      </c>
      <c r="C1223" s="17">
        <f>IFERROR(VLOOKUP(A1223,'Codici ATECO 2022'!A$2:C1240,3),0)</f>
        <v>0</v>
      </c>
      <c r="D1223" s="5">
        <f t="shared" si="4"/>
        <v>0</v>
      </c>
    </row>
    <row r="1224" spans="2:4">
      <c r="B1224" s="5">
        <f>SUMIF(Pagamenti!E$2:E1240,A1224,Pagamenti!D$2:D1240)</f>
        <v>0</v>
      </c>
      <c r="C1224" s="17">
        <f>IFERROR(VLOOKUP(A1224,'Codici ATECO 2022'!A$2:C1240,3),0)</f>
        <v>0</v>
      </c>
      <c r="D1224" s="5">
        <f t="shared" si="4"/>
        <v>0</v>
      </c>
    </row>
    <row r="1225" spans="2:4">
      <c r="B1225" s="5">
        <f>SUMIF(Pagamenti!E$2:E1240,A1225,Pagamenti!D$2:D1240)</f>
        <v>0</v>
      </c>
      <c r="C1225" s="17">
        <f>IFERROR(VLOOKUP(A1225,'Codici ATECO 2022'!A$2:C1240,3),0)</f>
        <v>0</v>
      </c>
      <c r="D1225" s="5">
        <f t="shared" si="4"/>
        <v>0</v>
      </c>
    </row>
    <row r="1226" spans="2:4">
      <c r="B1226" s="5">
        <f>SUMIF(Pagamenti!E$2:E1240,A1226,Pagamenti!D$2:D1240)</f>
        <v>0</v>
      </c>
      <c r="C1226" s="17">
        <f>IFERROR(VLOOKUP(A1226,'Codici ATECO 2022'!A$2:C1240,3),0)</f>
        <v>0</v>
      </c>
      <c r="D1226" s="5">
        <f t="shared" si="4"/>
        <v>0</v>
      </c>
    </row>
    <row r="1227" spans="2:4">
      <c r="B1227" s="5">
        <f>SUMIF(Pagamenti!E$2:E1240,A1227,Pagamenti!D$2:D1240)</f>
        <v>0</v>
      </c>
      <c r="C1227" s="17">
        <f>IFERROR(VLOOKUP(A1227,'Codici ATECO 2022'!A$2:C1240,3),0)</f>
        <v>0</v>
      </c>
      <c r="D1227" s="5">
        <f t="shared" si="4"/>
        <v>0</v>
      </c>
    </row>
    <row r="1228" spans="2:4">
      <c r="B1228" s="5">
        <f>SUMIF(Pagamenti!E$2:E1240,A1228,Pagamenti!D$2:D1240)</f>
        <v>0</v>
      </c>
      <c r="C1228" s="17">
        <f>IFERROR(VLOOKUP(A1228,'Codici ATECO 2022'!A$2:C1240,3),0)</f>
        <v>0</v>
      </c>
      <c r="D1228" s="5">
        <f t="shared" si="4"/>
        <v>0</v>
      </c>
    </row>
    <row r="1229" spans="2:4">
      <c r="B1229" s="5">
        <f>SUMIF(Pagamenti!E$2:E1240,A1229,Pagamenti!D$2:D1240)</f>
        <v>0</v>
      </c>
      <c r="C1229" s="17">
        <f>IFERROR(VLOOKUP(A1229,'Codici ATECO 2022'!A$2:C1240,3),0)</f>
        <v>0</v>
      </c>
      <c r="D1229" s="5">
        <f t="shared" si="4"/>
        <v>0</v>
      </c>
    </row>
    <row r="1230" spans="2:4">
      <c r="B1230" s="5">
        <f>SUMIF(Pagamenti!E$2:E1240,A1230,Pagamenti!D$2:D1240)</f>
        <v>0</v>
      </c>
      <c r="C1230" s="17">
        <f>IFERROR(VLOOKUP(A1230,'Codici ATECO 2022'!A$2:C1240,3),0)</f>
        <v>0</v>
      </c>
      <c r="D1230" s="5">
        <f t="shared" si="4"/>
        <v>0</v>
      </c>
    </row>
    <row r="1231" spans="2:4">
      <c r="B1231" s="5">
        <f>SUMIF(Pagamenti!E$2:E1240,A1231,Pagamenti!D$2:D1240)</f>
        <v>0</v>
      </c>
      <c r="C1231" s="17">
        <f>IFERROR(VLOOKUP(A1231,'Codici ATECO 2022'!A$2:C1240,3),0)</f>
        <v>0</v>
      </c>
      <c r="D1231" s="5">
        <f t="shared" si="4"/>
        <v>0</v>
      </c>
    </row>
    <row r="1232" spans="2:4">
      <c r="B1232" s="5">
        <f>SUMIF(Pagamenti!E$2:E1240,A1232,Pagamenti!D$2:D1240)</f>
        <v>0</v>
      </c>
      <c r="C1232" s="17">
        <f>IFERROR(VLOOKUP(A1232,'Codici ATECO 2022'!A$2:C1240,3),0)</f>
        <v>0</v>
      </c>
      <c r="D1232" s="5">
        <f t="shared" si="4"/>
        <v>0</v>
      </c>
    </row>
    <row r="1233" spans="2:4">
      <c r="B1233" s="5">
        <f>SUMIF(Pagamenti!E$2:E1240,A1233,Pagamenti!D$2:D1240)</f>
        <v>0</v>
      </c>
      <c r="C1233" s="17">
        <f>IFERROR(VLOOKUP(A1233,'Codici ATECO 2022'!A$2:C1240,3),0)</f>
        <v>0</v>
      </c>
      <c r="D1233" s="5">
        <f t="shared" si="4"/>
        <v>0</v>
      </c>
    </row>
    <row r="1234" spans="2:4">
      <c r="B1234" s="5">
        <f>SUMIF(Pagamenti!E$2:E1240,A1234,Pagamenti!D$2:D1240)</f>
        <v>0</v>
      </c>
      <c r="C1234" s="17">
        <f>IFERROR(VLOOKUP(A1234,'Codici ATECO 2022'!A$2:C1240,3),0)</f>
        <v>0</v>
      </c>
      <c r="D1234" s="5">
        <f t="shared" si="4"/>
        <v>0</v>
      </c>
    </row>
    <row r="1235" spans="2:4">
      <c r="B1235" s="5">
        <f>SUMIF(Pagamenti!E$2:E1240,A1235,Pagamenti!D$2:D1240)</f>
        <v>0</v>
      </c>
      <c r="C1235" s="17">
        <f>IFERROR(VLOOKUP(A1235,'Codici ATECO 2022'!A$2:C1240,3),0)</f>
        <v>0</v>
      </c>
      <c r="D1235" s="5">
        <f t="shared" si="4"/>
        <v>0</v>
      </c>
    </row>
    <row r="1236" spans="2:4">
      <c r="B1236" s="5">
        <f>SUMIF(Pagamenti!E$2:E1240,A1236,Pagamenti!D$2:D1240)</f>
        <v>0</v>
      </c>
      <c r="C1236" s="17">
        <f>IFERROR(VLOOKUP(A1236,'Codici ATECO 2022'!A$2:C1240,3),0)</f>
        <v>0</v>
      </c>
      <c r="D1236" s="5">
        <f t="shared" si="4"/>
        <v>0</v>
      </c>
    </row>
    <row r="1237" spans="2:4">
      <c r="B1237" s="5">
        <f>SUMIF(Pagamenti!E$2:E1240,A1237,Pagamenti!D$2:D1240)</f>
        <v>0</v>
      </c>
      <c r="C1237" s="17">
        <f>IFERROR(VLOOKUP(A1237,'Codici ATECO 2022'!A$2:C1240,3),0)</f>
        <v>0</v>
      </c>
      <c r="D1237" s="5">
        <f t="shared" si="4"/>
        <v>0</v>
      </c>
    </row>
    <row r="1238" spans="2:4">
      <c r="B1238" s="5">
        <f>SUMIF(Pagamenti!E$2:E1240,A1238,Pagamenti!D$2:D1240)</f>
        <v>0</v>
      </c>
      <c r="C1238" s="17">
        <f>IFERROR(VLOOKUP(A1238,'Codici ATECO 2022'!A$2:C1240,3),0)</f>
        <v>0</v>
      </c>
      <c r="D1238" s="5">
        <f t="shared" si="4"/>
        <v>0</v>
      </c>
    </row>
    <row r="1239" spans="2:4">
      <c r="B1239" s="5">
        <f>SUMIF(Pagamenti!E$2:E1240,A1239,Pagamenti!D$2:D1240)</f>
        <v>0</v>
      </c>
      <c r="C1239" s="17">
        <f>IFERROR(VLOOKUP(A1239,'Codici ATECO 2022'!A$2:C1240,3),0)</f>
        <v>0</v>
      </c>
      <c r="D1239" s="5">
        <f t="shared" si="4"/>
        <v>0</v>
      </c>
    </row>
    <row r="1240" spans="2:4">
      <c r="B1240" s="5">
        <f>SUMIF(Pagamenti!E$2:E1240,A1240,Pagamenti!D$2:D1240)</f>
        <v>0</v>
      </c>
      <c r="C1240" s="17">
        <f>IFERROR(VLOOKUP(A1240,'Codici ATECO 2022'!A$2:C1240,3),0)</f>
        <v>0</v>
      </c>
      <c r="D1240" s="5">
        <f t="shared" si="4"/>
        <v>0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240"/>
  <sheetViews>
    <sheetView workbookViewId="0">
      <selection activeCell="B37" sqref="B37"/>
    </sheetView>
  </sheetViews>
  <sheetFormatPr defaultColWidth="12.5703125" defaultRowHeight="15.75" customHeight="1"/>
  <cols>
    <col min="1" max="1" width="12.7109375" customWidth="1"/>
    <col min="2" max="2" width="175.28515625" customWidth="1"/>
    <col min="3" max="3" width="20.85546875" customWidth="1"/>
  </cols>
  <sheetData>
    <row r="1" spans="1:3">
      <c r="A1" s="11" t="s">
        <v>16</v>
      </c>
      <c r="B1" s="11" t="s">
        <v>76</v>
      </c>
      <c r="C1" s="11" t="s">
        <v>75</v>
      </c>
    </row>
    <row r="2" spans="1:3">
      <c r="A2" s="27" t="s">
        <v>77</v>
      </c>
      <c r="B2" s="4" t="s">
        <v>78</v>
      </c>
      <c r="C2" s="22">
        <v>0.67</v>
      </c>
    </row>
    <row r="3" spans="1:3">
      <c r="A3" s="27" t="s">
        <v>79</v>
      </c>
      <c r="B3" s="4" t="s">
        <v>80</v>
      </c>
      <c r="C3" s="22">
        <v>0.67</v>
      </c>
    </row>
    <row r="4" spans="1:3">
      <c r="A4" s="27" t="s">
        <v>81</v>
      </c>
      <c r="B4" s="4" t="s">
        <v>82</v>
      </c>
      <c r="C4" s="22">
        <v>0.67</v>
      </c>
    </row>
    <row r="5" spans="1:3">
      <c r="A5" s="27" t="s">
        <v>83</v>
      </c>
      <c r="B5" s="4" t="s">
        <v>84</v>
      </c>
      <c r="C5" s="22">
        <v>0.67</v>
      </c>
    </row>
    <row r="6" spans="1:3">
      <c r="A6" s="27" t="s">
        <v>85</v>
      </c>
      <c r="B6" s="4" t="s">
        <v>86</v>
      </c>
      <c r="C6" s="22">
        <v>0.67</v>
      </c>
    </row>
    <row r="7" spans="1:3">
      <c r="A7" s="27" t="s">
        <v>87</v>
      </c>
      <c r="B7" s="4" t="s">
        <v>88</v>
      </c>
      <c r="C7" s="22">
        <v>0.67</v>
      </c>
    </row>
    <row r="8" spans="1:3">
      <c r="A8" s="27" t="s">
        <v>89</v>
      </c>
      <c r="B8" s="4" t="s">
        <v>90</v>
      </c>
      <c r="C8" s="22">
        <v>0.67</v>
      </c>
    </row>
    <row r="9" spans="1:3">
      <c r="A9" s="27" t="s">
        <v>91</v>
      </c>
      <c r="B9" s="4" t="s">
        <v>92</v>
      </c>
      <c r="C9" s="22">
        <v>0.67</v>
      </c>
    </row>
    <row r="10" spans="1:3">
      <c r="A10" s="27" t="s">
        <v>93</v>
      </c>
      <c r="B10" s="4" t="s">
        <v>94</v>
      </c>
      <c r="C10" s="22">
        <v>0.67</v>
      </c>
    </row>
    <row r="11" spans="1:3">
      <c r="A11" s="27" t="s">
        <v>95</v>
      </c>
      <c r="B11" s="4" t="s">
        <v>96</v>
      </c>
      <c r="C11" s="22">
        <v>0.67</v>
      </c>
    </row>
    <row r="12" spans="1:3">
      <c r="A12" s="27" t="s">
        <v>97</v>
      </c>
      <c r="B12" s="4" t="s">
        <v>98</v>
      </c>
      <c r="C12" s="22">
        <v>0.67</v>
      </c>
    </row>
    <row r="13" spans="1:3">
      <c r="A13" s="27" t="s">
        <v>99</v>
      </c>
      <c r="B13" s="4" t="s">
        <v>100</v>
      </c>
      <c r="C13" s="22">
        <v>0.67</v>
      </c>
    </row>
    <row r="14" spans="1:3">
      <c r="A14" s="27" t="s">
        <v>101</v>
      </c>
      <c r="B14" s="4" t="s">
        <v>102</v>
      </c>
      <c r="C14" s="22">
        <v>0.67</v>
      </c>
    </row>
    <row r="15" spans="1:3">
      <c r="A15" s="27" t="s">
        <v>103</v>
      </c>
      <c r="B15" s="4" t="s">
        <v>104</v>
      </c>
      <c r="C15" s="22">
        <v>0.67</v>
      </c>
    </row>
    <row r="16" spans="1:3">
      <c r="A16" s="27" t="s">
        <v>105</v>
      </c>
      <c r="B16" s="4" t="s">
        <v>106</v>
      </c>
      <c r="C16" s="22">
        <v>0.67</v>
      </c>
    </row>
    <row r="17" spans="1:3">
      <c r="A17" s="27" t="s">
        <v>107</v>
      </c>
      <c r="B17" s="4" t="s">
        <v>108</v>
      </c>
      <c r="C17" s="22">
        <v>0.67</v>
      </c>
    </row>
    <row r="18" spans="1:3">
      <c r="A18" s="27" t="s">
        <v>109</v>
      </c>
      <c r="B18" s="4" t="s">
        <v>110</v>
      </c>
      <c r="C18" s="22">
        <v>0.67</v>
      </c>
    </row>
    <row r="19" spans="1:3">
      <c r="A19" s="27" t="s">
        <v>111</v>
      </c>
      <c r="B19" s="4" t="s">
        <v>112</v>
      </c>
      <c r="C19" s="22">
        <v>0.67</v>
      </c>
    </row>
    <row r="20" spans="1:3">
      <c r="A20" s="27" t="s">
        <v>113</v>
      </c>
      <c r="B20" s="4" t="s">
        <v>114</v>
      </c>
      <c r="C20" s="22">
        <v>0.67</v>
      </c>
    </row>
    <row r="21" spans="1:3">
      <c r="A21" s="27" t="s">
        <v>115</v>
      </c>
      <c r="B21" s="4" t="s">
        <v>116</v>
      </c>
      <c r="C21" s="22">
        <v>0.67</v>
      </c>
    </row>
    <row r="22" spans="1:3">
      <c r="A22" s="27" t="s">
        <v>117</v>
      </c>
      <c r="B22" s="4" t="s">
        <v>118</v>
      </c>
      <c r="C22" s="22">
        <v>0.67</v>
      </c>
    </row>
    <row r="23" spans="1:3">
      <c r="A23" s="27" t="s">
        <v>119</v>
      </c>
      <c r="B23" s="4" t="s">
        <v>120</v>
      </c>
      <c r="C23" s="22">
        <v>0.67</v>
      </c>
    </row>
    <row r="24" spans="1:3">
      <c r="A24" s="27" t="s">
        <v>121</v>
      </c>
      <c r="B24" s="4" t="s">
        <v>122</v>
      </c>
      <c r="C24" s="22">
        <v>0.67</v>
      </c>
    </row>
    <row r="25" spans="1:3">
      <c r="A25" s="27" t="s">
        <v>123</v>
      </c>
      <c r="B25" s="4" t="s">
        <v>124</v>
      </c>
      <c r="C25" s="22">
        <v>0.67</v>
      </c>
    </row>
    <row r="26" spans="1:3">
      <c r="A26" s="27" t="s">
        <v>125</v>
      </c>
      <c r="B26" s="4" t="s">
        <v>126</v>
      </c>
      <c r="C26" s="22">
        <v>0.67</v>
      </c>
    </row>
    <row r="27" spans="1:3">
      <c r="A27" s="27" t="s">
        <v>127</v>
      </c>
      <c r="B27" s="4" t="s">
        <v>128</v>
      </c>
      <c r="C27" s="22">
        <v>0.67</v>
      </c>
    </row>
    <row r="28" spans="1:3">
      <c r="A28" s="27" t="s">
        <v>129</v>
      </c>
      <c r="B28" s="4" t="s">
        <v>130</v>
      </c>
      <c r="C28" s="22">
        <v>0.67</v>
      </c>
    </row>
    <row r="29" spans="1:3">
      <c r="A29" s="27" t="s">
        <v>131</v>
      </c>
      <c r="B29" s="4" t="s">
        <v>132</v>
      </c>
      <c r="C29" s="22">
        <v>0.67</v>
      </c>
    </row>
    <row r="30" spans="1:3">
      <c r="A30" s="27" t="s">
        <v>133</v>
      </c>
      <c r="B30" s="4" t="s">
        <v>134</v>
      </c>
      <c r="C30" s="22">
        <v>0.67</v>
      </c>
    </row>
    <row r="31" spans="1:3">
      <c r="A31" s="27" t="s">
        <v>135</v>
      </c>
      <c r="B31" s="4" t="s">
        <v>136</v>
      </c>
      <c r="C31" s="22">
        <v>0.67</v>
      </c>
    </row>
    <row r="32" spans="1:3">
      <c r="A32" s="27" t="s">
        <v>137</v>
      </c>
      <c r="B32" s="4" t="s">
        <v>138</v>
      </c>
      <c r="C32" s="22">
        <v>0.67</v>
      </c>
    </row>
    <row r="33" spans="1:3">
      <c r="A33" s="27" t="s">
        <v>139</v>
      </c>
      <c r="B33" s="4" t="s">
        <v>140</v>
      </c>
      <c r="C33" s="22">
        <v>0.67</v>
      </c>
    </row>
    <row r="34" spans="1:3">
      <c r="A34" s="27" t="s">
        <v>141</v>
      </c>
      <c r="B34" s="4" t="s">
        <v>142</v>
      </c>
      <c r="C34" s="22">
        <v>0.67</v>
      </c>
    </row>
    <row r="35" spans="1:3">
      <c r="A35" s="27" t="s">
        <v>143</v>
      </c>
      <c r="B35" s="4" t="s">
        <v>144</v>
      </c>
      <c r="C35" s="22">
        <v>0.67</v>
      </c>
    </row>
    <row r="36" spans="1:3">
      <c r="A36" s="27" t="s">
        <v>145</v>
      </c>
      <c r="B36" s="4" t="s">
        <v>146</v>
      </c>
      <c r="C36" s="22">
        <v>0.67</v>
      </c>
    </row>
    <row r="37" spans="1:3">
      <c r="A37" s="27" t="s">
        <v>147</v>
      </c>
      <c r="B37" s="4" t="s">
        <v>148</v>
      </c>
      <c r="C37" s="22">
        <v>0.67</v>
      </c>
    </row>
    <row r="38" spans="1:3">
      <c r="A38" s="27" t="s">
        <v>149</v>
      </c>
      <c r="B38" s="4" t="s">
        <v>150</v>
      </c>
      <c r="C38" s="22">
        <v>0.67</v>
      </c>
    </row>
    <row r="39" spans="1:3">
      <c r="A39" s="27" t="s">
        <v>151</v>
      </c>
      <c r="B39" s="4" t="s">
        <v>152</v>
      </c>
      <c r="C39" s="22">
        <v>0.67</v>
      </c>
    </row>
    <row r="40" spans="1:3">
      <c r="A40" s="27" t="s">
        <v>153</v>
      </c>
      <c r="B40" s="4" t="s">
        <v>154</v>
      </c>
      <c r="C40" s="22">
        <v>0.67</v>
      </c>
    </row>
    <row r="41" spans="1:3">
      <c r="A41" s="27" t="s">
        <v>155</v>
      </c>
      <c r="B41" s="4" t="s">
        <v>156</v>
      </c>
      <c r="C41" s="22">
        <v>0.67</v>
      </c>
    </row>
    <row r="42" spans="1:3">
      <c r="A42" s="27" t="s">
        <v>157</v>
      </c>
      <c r="B42" s="4" t="s">
        <v>158</v>
      </c>
      <c r="C42" s="22">
        <v>0.67</v>
      </c>
    </row>
    <row r="43" spans="1:3">
      <c r="A43" s="27" t="s">
        <v>159</v>
      </c>
      <c r="B43" s="4" t="s">
        <v>160</v>
      </c>
      <c r="C43" s="22">
        <v>0.67</v>
      </c>
    </row>
    <row r="44" spans="1:3">
      <c r="A44" s="27" t="s">
        <v>161</v>
      </c>
      <c r="B44" s="4" t="s">
        <v>162</v>
      </c>
      <c r="C44" s="22">
        <v>0.67</v>
      </c>
    </row>
    <row r="45" spans="1:3">
      <c r="A45" s="27" t="s">
        <v>163</v>
      </c>
      <c r="B45" s="4" t="s">
        <v>164</v>
      </c>
      <c r="C45" s="22">
        <v>0.67</v>
      </c>
    </row>
    <row r="46" spans="1:3">
      <c r="A46" s="27" t="s">
        <v>165</v>
      </c>
      <c r="B46" s="4" t="s">
        <v>166</v>
      </c>
      <c r="C46" s="22">
        <v>0.67</v>
      </c>
    </row>
    <row r="47" spans="1:3">
      <c r="A47" s="27" t="s">
        <v>167</v>
      </c>
      <c r="B47" s="4" t="s">
        <v>168</v>
      </c>
      <c r="C47" s="22">
        <v>0.67</v>
      </c>
    </row>
    <row r="48" spans="1:3">
      <c r="A48" s="27" t="s">
        <v>169</v>
      </c>
      <c r="B48" s="4" t="s">
        <v>170</v>
      </c>
      <c r="C48" s="22">
        <v>0.67</v>
      </c>
    </row>
    <row r="49" spans="1:3">
      <c r="A49" s="27" t="s">
        <v>171</v>
      </c>
      <c r="B49" s="4" t="s">
        <v>172</v>
      </c>
      <c r="C49" s="22">
        <v>0.67</v>
      </c>
    </row>
    <row r="50" spans="1:3">
      <c r="A50" s="27" t="s">
        <v>173</v>
      </c>
      <c r="B50" s="4" t="s">
        <v>174</v>
      </c>
      <c r="C50" s="22">
        <v>0.67</v>
      </c>
    </row>
    <row r="51" spans="1:3">
      <c r="A51" s="27" t="s">
        <v>175</v>
      </c>
      <c r="B51" s="4" t="s">
        <v>176</v>
      </c>
      <c r="C51" s="22">
        <v>0.67</v>
      </c>
    </row>
    <row r="52" spans="1:3">
      <c r="A52" s="27" t="s">
        <v>177</v>
      </c>
      <c r="B52" s="4" t="s">
        <v>178</v>
      </c>
      <c r="C52" s="22">
        <v>0.67</v>
      </c>
    </row>
    <row r="53" spans="1:3">
      <c r="A53" s="27" t="s">
        <v>179</v>
      </c>
      <c r="B53" s="4" t="s">
        <v>180</v>
      </c>
      <c r="C53" s="22">
        <v>0.67</v>
      </c>
    </row>
    <row r="54" spans="1:3">
      <c r="A54" s="27" t="s">
        <v>181</v>
      </c>
      <c r="B54" s="4" t="s">
        <v>182</v>
      </c>
      <c r="C54" s="22">
        <v>0.67</v>
      </c>
    </row>
    <row r="55" spans="1:3">
      <c r="A55" s="27" t="s">
        <v>183</v>
      </c>
      <c r="B55" s="4" t="s">
        <v>184</v>
      </c>
      <c r="C55" s="22">
        <v>0.67</v>
      </c>
    </row>
    <row r="56" spans="1:3">
      <c r="A56" s="27" t="s">
        <v>185</v>
      </c>
      <c r="B56" s="4" t="s">
        <v>186</v>
      </c>
      <c r="C56" s="22">
        <v>0.67</v>
      </c>
    </row>
    <row r="57" spans="1:3">
      <c r="A57" s="27" t="s">
        <v>187</v>
      </c>
      <c r="B57" s="4" t="s">
        <v>188</v>
      </c>
      <c r="C57" s="22">
        <v>0.67</v>
      </c>
    </row>
    <row r="58" spans="1:3">
      <c r="A58" s="27" t="s">
        <v>189</v>
      </c>
      <c r="B58" s="4" t="s">
        <v>190</v>
      </c>
      <c r="C58" s="22">
        <v>0.67</v>
      </c>
    </row>
    <row r="59" spans="1:3">
      <c r="A59" s="27" t="s">
        <v>191</v>
      </c>
      <c r="B59" s="4" t="s">
        <v>192</v>
      </c>
      <c r="C59" s="22">
        <v>0.67</v>
      </c>
    </row>
    <row r="60" spans="1:3">
      <c r="A60" s="27" t="s">
        <v>193</v>
      </c>
      <c r="B60" s="4" t="s">
        <v>194</v>
      </c>
      <c r="C60" s="22">
        <v>0.67</v>
      </c>
    </row>
    <row r="61" spans="1:3">
      <c r="A61" s="27" t="s">
        <v>195</v>
      </c>
      <c r="B61" s="4" t="s">
        <v>196</v>
      </c>
      <c r="C61" s="22">
        <v>0.67</v>
      </c>
    </row>
    <row r="62" spans="1:3">
      <c r="A62" s="27" t="s">
        <v>197</v>
      </c>
      <c r="B62" s="4" t="s">
        <v>198</v>
      </c>
      <c r="C62" s="22">
        <v>0.67</v>
      </c>
    </row>
    <row r="63" spans="1:3">
      <c r="A63" s="27" t="s">
        <v>199</v>
      </c>
      <c r="B63" s="4" t="s">
        <v>200</v>
      </c>
      <c r="C63" s="22">
        <v>0.67</v>
      </c>
    </row>
    <row r="64" spans="1:3">
      <c r="A64" s="27" t="s">
        <v>201</v>
      </c>
      <c r="B64" s="4" t="s">
        <v>202</v>
      </c>
      <c r="C64" s="22">
        <v>0.67</v>
      </c>
    </row>
    <row r="65" spans="1:3">
      <c r="A65" s="27" t="s">
        <v>203</v>
      </c>
      <c r="B65" s="4" t="s">
        <v>204</v>
      </c>
      <c r="C65" s="22">
        <v>0.67</v>
      </c>
    </row>
    <row r="66" spans="1:3">
      <c r="A66" s="27" t="s">
        <v>205</v>
      </c>
      <c r="B66" s="4" t="s">
        <v>206</v>
      </c>
      <c r="C66" s="22">
        <v>0.67</v>
      </c>
    </row>
    <row r="67" spans="1:3">
      <c r="A67" s="27" t="s">
        <v>207</v>
      </c>
      <c r="B67" s="4" t="s">
        <v>208</v>
      </c>
      <c r="C67" s="22">
        <v>0.67</v>
      </c>
    </row>
    <row r="68" spans="1:3">
      <c r="A68" s="27" t="s">
        <v>209</v>
      </c>
      <c r="B68" s="4" t="s">
        <v>210</v>
      </c>
      <c r="C68" s="22">
        <v>0.67</v>
      </c>
    </row>
    <row r="69" spans="1:3">
      <c r="A69" s="27" t="s">
        <v>211</v>
      </c>
      <c r="B69" s="4" t="s">
        <v>212</v>
      </c>
      <c r="C69" s="22">
        <v>0.67</v>
      </c>
    </row>
    <row r="70" spans="1:3">
      <c r="A70" s="27" t="s">
        <v>213</v>
      </c>
      <c r="B70" s="4" t="s">
        <v>214</v>
      </c>
      <c r="C70" s="22">
        <v>0.67</v>
      </c>
    </row>
    <row r="71" spans="1:3">
      <c r="A71" s="27" t="s">
        <v>215</v>
      </c>
      <c r="B71" s="4" t="s">
        <v>216</v>
      </c>
      <c r="C71" s="22">
        <v>0.67</v>
      </c>
    </row>
    <row r="72" spans="1:3">
      <c r="A72" s="27" t="s">
        <v>217</v>
      </c>
      <c r="B72" s="4" t="s">
        <v>218</v>
      </c>
      <c r="C72" s="22">
        <v>0.67</v>
      </c>
    </row>
    <row r="73" spans="1:3">
      <c r="A73" s="27" t="s">
        <v>219</v>
      </c>
      <c r="B73" s="4" t="s">
        <v>220</v>
      </c>
      <c r="C73" s="22">
        <v>0.67</v>
      </c>
    </row>
    <row r="74" spans="1:3">
      <c r="A74" s="27" t="s">
        <v>221</v>
      </c>
      <c r="B74" s="4" t="s">
        <v>222</v>
      </c>
      <c r="C74" s="22">
        <v>0.4</v>
      </c>
    </row>
    <row r="75" spans="1:3">
      <c r="A75" s="27" t="s">
        <v>223</v>
      </c>
      <c r="B75" s="4" t="s">
        <v>224</v>
      </c>
      <c r="C75" s="22">
        <v>0.4</v>
      </c>
    </row>
    <row r="76" spans="1:3">
      <c r="A76" s="27" t="s">
        <v>225</v>
      </c>
      <c r="B76" s="4" t="s">
        <v>226</v>
      </c>
      <c r="C76" s="22">
        <v>0.4</v>
      </c>
    </row>
    <row r="77" spans="1:3">
      <c r="A77" s="27" t="s">
        <v>227</v>
      </c>
      <c r="B77" s="4" t="s">
        <v>228</v>
      </c>
      <c r="C77" s="22">
        <v>0.4</v>
      </c>
    </row>
    <row r="78" spans="1:3">
      <c r="A78" s="27" t="s">
        <v>229</v>
      </c>
      <c r="B78" s="4" t="s">
        <v>230</v>
      </c>
      <c r="C78" s="22">
        <v>0.4</v>
      </c>
    </row>
    <row r="79" spans="1:3">
      <c r="A79" s="27" t="s">
        <v>231</v>
      </c>
      <c r="B79" s="4" t="s">
        <v>232</v>
      </c>
      <c r="C79" s="22">
        <v>0.4</v>
      </c>
    </row>
    <row r="80" spans="1:3">
      <c r="A80" s="27" t="s">
        <v>233</v>
      </c>
      <c r="B80" s="4" t="s">
        <v>234</v>
      </c>
      <c r="C80" s="22">
        <v>0.4</v>
      </c>
    </row>
    <row r="81" spans="1:3">
      <c r="A81" s="27" t="s">
        <v>235</v>
      </c>
      <c r="B81" s="4" t="s">
        <v>236</v>
      </c>
      <c r="C81" s="22">
        <v>0.4</v>
      </c>
    </row>
    <row r="82" spans="1:3">
      <c r="A82" s="27" t="s">
        <v>237</v>
      </c>
      <c r="B82" s="4" t="s">
        <v>238</v>
      </c>
      <c r="C82" s="22">
        <v>0.4</v>
      </c>
    </row>
    <row r="83" spans="1:3">
      <c r="A83" s="27" t="s">
        <v>239</v>
      </c>
      <c r="B83" s="4" t="s">
        <v>240</v>
      </c>
      <c r="C83" s="22">
        <v>0.4</v>
      </c>
    </row>
    <row r="84" spans="1:3">
      <c r="A84" s="27" t="s">
        <v>241</v>
      </c>
      <c r="B84" s="4" t="s">
        <v>242</v>
      </c>
      <c r="C84" s="22">
        <v>0.4</v>
      </c>
    </row>
    <row r="85" spans="1:3">
      <c r="A85" s="27" t="s">
        <v>243</v>
      </c>
      <c r="B85" s="4" t="s">
        <v>244</v>
      </c>
      <c r="C85" s="22">
        <v>0.4</v>
      </c>
    </row>
    <row r="86" spans="1:3">
      <c r="A86" s="27" t="s">
        <v>245</v>
      </c>
      <c r="B86" s="4" t="s">
        <v>246</v>
      </c>
      <c r="C86" s="22">
        <v>0.4</v>
      </c>
    </row>
    <row r="87" spans="1:3">
      <c r="A87" s="27" t="s">
        <v>247</v>
      </c>
      <c r="B87" s="4" t="s">
        <v>248</v>
      </c>
      <c r="C87" s="22">
        <v>0.4</v>
      </c>
    </row>
    <row r="88" spans="1:3">
      <c r="A88" s="27" t="s">
        <v>249</v>
      </c>
      <c r="B88" s="4" t="s">
        <v>250</v>
      </c>
      <c r="C88" s="22">
        <v>0.4</v>
      </c>
    </row>
    <row r="89" spans="1:3">
      <c r="A89" s="27" t="s">
        <v>251</v>
      </c>
      <c r="B89" s="4" t="s">
        <v>252</v>
      </c>
      <c r="C89" s="22">
        <v>0.4</v>
      </c>
    </row>
    <row r="90" spans="1:3">
      <c r="A90" s="27" t="s">
        <v>253</v>
      </c>
      <c r="B90" s="4" t="s">
        <v>254</v>
      </c>
      <c r="C90" s="22">
        <v>0.4</v>
      </c>
    </row>
    <row r="91" spans="1:3">
      <c r="A91" s="27" t="s">
        <v>255</v>
      </c>
      <c r="B91" s="4" t="s">
        <v>256</v>
      </c>
      <c r="C91" s="22">
        <v>0.4</v>
      </c>
    </row>
    <row r="92" spans="1:3">
      <c r="A92" s="27" t="s">
        <v>257</v>
      </c>
      <c r="B92" s="4" t="s">
        <v>258</v>
      </c>
      <c r="C92" s="22">
        <v>0.4</v>
      </c>
    </row>
    <row r="93" spans="1:3">
      <c r="A93" s="27" t="s">
        <v>259</v>
      </c>
      <c r="B93" s="4" t="s">
        <v>260</v>
      </c>
      <c r="C93" s="22">
        <v>0.4</v>
      </c>
    </row>
    <row r="94" spans="1:3">
      <c r="A94" s="27" t="s">
        <v>261</v>
      </c>
      <c r="B94" s="4" t="s">
        <v>262</v>
      </c>
      <c r="C94" s="22">
        <v>0.4</v>
      </c>
    </row>
    <row r="95" spans="1:3">
      <c r="A95" s="27" t="s">
        <v>263</v>
      </c>
      <c r="B95" s="4" t="s">
        <v>264</v>
      </c>
      <c r="C95" s="22">
        <v>0.4</v>
      </c>
    </row>
    <row r="96" spans="1:3">
      <c r="A96" s="27" t="s">
        <v>265</v>
      </c>
      <c r="B96" s="4" t="s">
        <v>266</v>
      </c>
      <c r="C96" s="22">
        <v>0.4</v>
      </c>
    </row>
    <row r="97" spans="1:3">
      <c r="A97" s="27" t="s">
        <v>267</v>
      </c>
      <c r="B97" s="4" t="s">
        <v>268</v>
      </c>
      <c r="C97" s="22">
        <v>0.4</v>
      </c>
    </row>
    <row r="98" spans="1:3">
      <c r="A98" s="27" t="s">
        <v>269</v>
      </c>
      <c r="B98" s="4" t="s">
        <v>270</v>
      </c>
      <c r="C98" s="22">
        <v>0.4</v>
      </c>
    </row>
    <row r="99" spans="1:3">
      <c r="A99" s="27" t="s">
        <v>271</v>
      </c>
      <c r="B99" s="4" t="s">
        <v>272</v>
      </c>
      <c r="C99" s="22">
        <v>0.4</v>
      </c>
    </row>
    <row r="100" spans="1:3">
      <c r="A100" s="27" t="s">
        <v>273</v>
      </c>
      <c r="B100" s="4" t="s">
        <v>274</v>
      </c>
      <c r="C100" s="22">
        <v>0.4</v>
      </c>
    </row>
    <row r="101" spans="1:3">
      <c r="A101" s="27" t="s">
        <v>275</v>
      </c>
      <c r="B101" s="4" t="s">
        <v>276</v>
      </c>
      <c r="C101" s="22">
        <v>0.4</v>
      </c>
    </row>
    <row r="102" spans="1:3">
      <c r="A102" s="27" t="s">
        <v>277</v>
      </c>
      <c r="B102" s="4" t="s">
        <v>278</v>
      </c>
      <c r="C102" s="22">
        <v>0.4</v>
      </c>
    </row>
    <row r="103" spans="1:3">
      <c r="A103" s="27" t="s">
        <v>279</v>
      </c>
      <c r="B103" s="4" t="s">
        <v>280</v>
      </c>
      <c r="C103" s="22">
        <v>0.4</v>
      </c>
    </row>
    <row r="104" spans="1:3">
      <c r="A104" s="27" t="s">
        <v>281</v>
      </c>
      <c r="B104" s="4" t="s">
        <v>282</v>
      </c>
      <c r="C104" s="22">
        <v>0.4</v>
      </c>
    </row>
    <row r="105" spans="1:3">
      <c r="A105" s="27" t="s">
        <v>283</v>
      </c>
      <c r="B105" s="4" t="s">
        <v>284</v>
      </c>
      <c r="C105" s="22">
        <v>0.4</v>
      </c>
    </row>
    <row r="106" spans="1:3">
      <c r="A106" s="27" t="s">
        <v>285</v>
      </c>
      <c r="B106" s="4" t="s">
        <v>286</v>
      </c>
      <c r="C106" s="22">
        <v>0.4</v>
      </c>
    </row>
    <row r="107" spans="1:3">
      <c r="A107" s="27" t="s">
        <v>287</v>
      </c>
      <c r="B107" s="4" t="s">
        <v>288</v>
      </c>
      <c r="C107" s="22">
        <v>0.4</v>
      </c>
    </row>
    <row r="108" spans="1:3">
      <c r="A108" s="27" t="s">
        <v>289</v>
      </c>
      <c r="B108" s="4" t="s">
        <v>290</v>
      </c>
      <c r="C108" s="22">
        <v>0.4</v>
      </c>
    </row>
    <row r="109" spans="1:3">
      <c r="A109" s="27" t="s">
        <v>291</v>
      </c>
      <c r="B109" s="4" t="s">
        <v>292</v>
      </c>
      <c r="C109" s="22">
        <v>0.4</v>
      </c>
    </row>
    <row r="110" spans="1:3">
      <c r="A110" s="27" t="s">
        <v>293</v>
      </c>
      <c r="B110" s="4" t="s">
        <v>294</v>
      </c>
      <c r="C110" s="22">
        <v>0.4</v>
      </c>
    </row>
    <row r="111" spans="1:3">
      <c r="A111" s="27" t="s">
        <v>295</v>
      </c>
      <c r="B111" s="4" t="s">
        <v>296</v>
      </c>
      <c r="C111" s="22">
        <v>0.4</v>
      </c>
    </row>
    <row r="112" spans="1:3">
      <c r="A112" s="27" t="s">
        <v>297</v>
      </c>
      <c r="B112" s="4" t="s">
        <v>298</v>
      </c>
      <c r="C112" s="22">
        <v>0.4</v>
      </c>
    </row>
    <row r="113" spans="1:3">
      <c r="A113" s="27" t="s">
        <v>299</v>
      </c>
      <c r="B113" s="4" t="s">
        <v>300</v>
      </c>
      <c r="C113" s="22">
        <v>0.4</v>
      </c>
    </row>
    <row r="114" spans="1:3">
      <c r="A114" s="27" t="s">
        <v>301</v>
      </c>
      <c r="B114" s="4" t="s">
        <v>302</v>
      </c>
      <c r="C114" s="22">
        <v>0.4</v>
      </c>
    </row>
    <row r="115" spans="1:3">
      <c r="A115" s="27" t="s">
        <v>303</v>
      </c>
      <c r="B115" s="4" t="s">
        <v>304</v>
      </c>
      <c r="C115" s="22">
        <v>0.4</v>
      </c>
    </row>
    <row r="116" spans="1:3">
      <c r="A116" s="27" t="s">
        <v>305</v>
      </c>
      <c r="B116" s="4" t="s">
        <v>306</v>
      </c>
      <c r="C116" s="22">
        <v>0.4</v>
      </c>
    </row>
    <row r="117" spans="1:3">
      <c r="A117" s="27" t="s">
        <v>307</v>
      </c>
      <c r="B117" s="4" t="s">
        <v>308</v>
      </c>
      <c r="C117" s="22">
        <v>0.4</v>
      </c>
    </row>
    <row r="118" spans="1:3">
      <c r="A118" s="27" t="s">
        <v>309</v>
      </c>
      <c r="B118" s="4" t="s">
        <v>310</v>
      </c>
      <c r="C118" s="22">
        <v>0.4</v>
      </c>
    </row>
    <row r="119" spans="1:3">
      <c r="A119" s="27" t="s">
        <v>311</v>
      </c>
      <c r="B119" s="4" t="s">
        <v>312</v>
      </c>
      <c r="C119" s="22">
        <v>0.4</v>
      </c>
    </row>
    <row r="120" spans="1:3">
      <c r="A120" s="27" t="s">
        <v>313</v>
      </c>
      <c r="B120" s="4" t="s">
        <v>314</v>
      </c>
      <c r="C120" s="22">
        <v>0.4</v>
      </c>
    </row>
    <row r="121" spans="1:3">
      <c r="A121" s="27" t="s">
        <v>315</v>
      </c>
      <c r="B121" s="4" t="s">
        <v>316</v>
      </c>
      <c r="C121" s="22">
        <v>0.67</v>
      </c>
    </row>
    <row r="122" spans="1:3">
      <c r="A122" s="27" t="s">
        <v>317</v>
      </c>
      <c r="B122" s="4" t="s">
        <v>318</v>
      </c>
      <c r="C122" s="22">
        <v>0.67</v>
      </c>
    </row>
    <row r="123" spans="1:3">
      <c r="A123" s="27" t="s">
        <v>319</v>
      </c>
      <c r="B123" s="4" t="s">
        <v>320</v>
      </c>
      <c r="C123" s="22">
        <v>0.67</v>
      </c>
    </row>
    <row r="124" spans="1:3">
      <c r="A124" s="27" t="s">
        <v>321</v>
      </c>
      <c r="B124" s="4" t="s">
        <v>322</v>
      </c>
      <c r="C124" s="22">
        <v>0.67</v>
      </c>
    </row>
    <row r="125" spans="1:3">
      <c r="A125" s="27" t="s">
        <v>323</v>
      </c>
      <c r="B125" s="4" t="s">
        <v>324</v>
      </c>
      <c r="C125" s="22">
        <v>0.67</v>
      </c>
    </row>
    <row r="126" spans="1:3">
      <c r="A126" s="27" t="s">
        <v>325</v>
      </c>
      <c r="B126" s="4" t="s">
        <v>326</v>
      </c>
      <c r="C126" s="22">
        <v>0.67</v>
      </c>
    </row>
    <row r="127" spans="1:3">
      <c r="A127" s="27" t="s">
        <v>327</v>
      </c>
      <c r="B127" s="4" t="s">
        <v>328</v>
      </c>
      <c r="C127" s="22">
        <v>0.67</v>
      </c>
    </row>
    <row r="128" spans="1:3">
      <c r="A128" s="27" t="s">
        <v>329</v>
      </c>
      <c r="B128" s="4" t="s">
        <v>330</v>
      </c>
      <c r="C128" s="22">
        <v>0.67</v>
      </c>
    </row>
    <row r="129" spans="1:3">
      <c r="A129" s="27" t="s">
        <v>331</v>
      </c>
      <c r="B129" s="4" t="s">
        <v>332</v>
      </c>
      <c r="C129" s="22">
        <v>0.67</v>
      </c>
    </row>
    <row r="130" spans="1:3">
      <c r="A130" s="27" t="s">
        <v>333</v>
      </c>
      <c r="B130" s="4" t="s">
        <v>334</v>
      </c>
      <c r="C130" s="22">
        <v>0.67</v>
      </c>
    </row>
    <row r="131" spans="1:3">
      <c r="A131" s="27" t="s">
        <v>335</v>
      </c>
      <c r="B131" s="4" t="s">
        <v>336</v>
      </c>
      <c r="C131" s="22">
        <v>0.67</v>
      </c>
    </row>
    <row r="132" spans="1:3">
      <c r="A132" s="27" t="s">
        <v>337</v>
      </c>
      <c r="B132" s="4" t="s">
        <v>338</v>
      </c>
      <c r="C132" s="22">
        <v>0.67</v>
      </c>
    </row>
    <row r="133" spans="1:3">
      <c r="A133" s="27" t="s">
        <v>339</v>
      </c>
      <c r="B133" s="4" t="s">
        <v>340</v>
      </c>
      <c r="C133" s="22">
        <v>0.67</v>
      </c>
    </row>
    <row r="134" spans="1:3">
      <c r="A134" s="27" t="s">
        <v>341</v>
      </c>
      <c r="B134" s="4" t="s">
        <v>342</v>
      </c>
      <c r="C134" s="22">
        <v>0.67</v>
      </c>
    </row>
    <row r="135" spans="1:3">
      <c r="A135" s="27" t="s">
        <v>343</v>
      </c>
      <c r="B135" s="4" t="s">
        <v>344</v>
      </c>
      <c r="C135" s="22">
        <v>0.67</v>
      </c>
    </row>
    <row r="136" spans="1:3">
      <c r="A136" s="27" t="s">
        <v>345</v>
      </c>
      <c r="B136" s="4" t="s">
        <v>346</v>
      </c>
      <c r="C136" s="22">
        <v>0.67</v>
      </c>
    </row>
    <row r="137" spans="1:3">
      <c r="A137" s="27" t="s">
        <v>347</v>
      </c>
      <c r="B137" s="4" t="s">
        <v>348</v>
      </c>
      <c r="C137" s="22">
        <v>0.67</v>
      </c>
    </row>
    <row r="138" spans="1:3">
      <c r="A138" s="27" t="s">
        <v>349</v>
      </c>
      <c r="B138" s="4" t="s">
        <v>350</v>
      </c>
      <c r="C138" s="22">
        <v>0.67</v>
      </c>
    </row>
    <row r="139" spans="1:3">
      <c r="A139" s="27" t="s">
        <v>351</v>
      </c>
      <c r="B139" s="4" t="s">
        <v>352</v>
      </c>
      <c r="C139" s="22">
        <v>0.67</v>
      </c>
    </row>
    <row r="140" spans="1:3">
      <c r="A140" s="27" t="s">
        <v>353</v>
      </c>
      <c r="B140" s="4" t="s">
        <v>354</v>
      </c>
      <c r="C140" s="22">
        <v>0.67</v>
      </c>
    </row>
    <row r="141" spans="1:3">
      <c r="A141" s="27" t="s">
        <v>355</v>
      </c>
      <c r="B141" s="4" t="s">
        <v>356</v>
      </c>
      <c r="C141" s="22">
        <v>0.67</v>
      </c>
    </row>
    <row r="142" spans="1:3">
      <c r="A142" s="27" t="s">
        <v>357</v>
      </c>
      <c r="B142" s="4" t="s">
        <v>358</v>
      </c>
      <c r="C142" s="22">
        <v>0.67</v>
      </c>
    </row>
    <row r="143" spans="1:3">
      <c r="A143" s="27" t="s">
        <v>359</v>
      </c>
      <c r="B143" s="4" t="s">
        <v>360</v>
      </c>
      <c r="C143" s="22">
        <v>0.67</v>
      </c>
    </row>
    <row r="144" spans="1:3">
      <c r="A144" s="27" t="s">
        <v>361</v>
      </c>
      <c r="B144" s="4" t="s">
        <v>362</v>
      </c>
      <c r="C144" s="22">
        <v>0.67</v>
      </c>
    </row>
    <row r="145" spans="1:3">
      <c r="A145" s="27" t="s">
        <v>363</v>
      </c>
      <c r="B145" s="4" t="s">
        <v>364</v>
      </c>
      <c r="C145" s="22">
        <v>0.67</v>
      </c>
    </row>
    <row r="146" spans="1:3">
      <c r="A146" s="27" t="s">
        <v>365</v>
      </c>
      <c r="B146" s="4" t="s">
        <v>366</v>
      </c>
      <c r="C146" s="22">
        <v>0.67</v>
      </c>
    </row>
    <row r="147" spans="1:3">
      <c r="A147" s="27" t="s">
        <v>367</v>
      </c>
      <c r="B147" s="4" t="s">
        <v>368</v>
      </c>
      <c r="C147" s="22">
        <v>0.67</v>
      </c>
    </row>
    <row r="148" spans="1:3">
      <c r="A148" s="27" t="s">
        <v>369</v>
      </c>
      <c r="B148" s="4" t="s">
        <v>370</v>
      </c>
      <c r="C148" s="22">
        <v>0.67</v>
      </c>
    </row>
    <row r="149" spans="1:3">
      <c r="A149" s="27" t="s">
        <v>371</v>
      </c>
      <c r="B149" s="4" t="s">
        <v>372</v>
      </c>
      <c r="C149" s="22">
        <v>0.67</v>
      </c>
    </row>
    <row r="150" spans="1:3">
      <c r="A150" s="27" t="s">
        <v>373</v>
      </c>
      <c r="B150" s="4" t="s">
        <v>374</v>
      </c>
      <c r="C150" s="22">
        <v>0.67</v>
      </c>
    </row>
    <row r="151" spans="1:3">
      <c r="A151" s="27" t="s">
        <v>375</v>
      </c>
      <c r="B151" s="4" t="s">
        <v>376</v>
      </c>
      <c r="C151" s="22">
        <v>0.67</v>
      </c>
    </row>
    <row r="152" spans="1:3">
      <c r="A152" s="27" t="s">
        <v>377</v>
      </c>
      <c r="B152" s="4" t="s">
        <v>378</v>
      </c>
      <c r="C152" s="22">
        <v>0.67</v>
      </c>
    </row>
    <row r="153" spans="1:3">
      <c r="A153" s="27" t="s">
        <v>379</v>
      </c>
      <c r="B153" s="4" t="s">
        <v>380</v>
      </c>
      <c r="C153" s="22">
        <v>0.67</v>
      </c>
    </row>
    <row r="154" spans="1:3">
      <c r="A154" s="27" t="s">
        <v>381</v>
      </c>
      <c r="B154" s="4" t="s">
        <v>382</v>
      </c>
      <c r="C154" s="22">
        <v>0.67</v>
      </c>
    </row>
    <row r="155" spans="1:3">
      <c r="A155" s="27" t="s">
        <v>383</v>
      </c>
      <c r="B155" s="4" t="s">
        <v>384</v>
      </c>
      <c r="C155" s="22">
        <v>0.67</v>
      </c>
    </row>
    <row r="156" spans="1:3">
      <c r="A156" s="27" t="s">
        <v>385</v>
      </c>
      <c r="B156" s="4" t="s">
        <v>386</v>
      </c>
      <c r="C156" s="22">
        <v>0.67</v>
      </c>
    </row>
    <row r="157" spans="1:3">
      <c r="A157" s="27" t="s">
        <v>387</v>
      </c>
      <c r="B157" s="4" t="s">
        <v>388</v>
      </c>
      <c r="C157" s="22">
        <v>0.67</v>
      </c>
    </row>
    <row r="158" spans="1:3">
      <c r="A158" s="27" t="s">
        <v>389</v>
      </c>
      <c r="B158" s="4" t="s">
        <v>390</v>
      </c>
      <c r="C158" s="22">
        <v>0.67</v>
      </c>
    </row>
    <row r="159" spans="1:3">
      <c r="A159" s="27" t="s">
        <v>391</v>
      </c>
      <c r="B159" s="4" t="s">
        <v>392</v>
      </c>
      <c r="C159" s="22">
        <v>0.67</v>
      </c>
    </row>
    <row r="160" spans="1:3">
      <c r="A160" s="27" t="s">
        <v>393</v>
      </c>
      <c r="B160" s="4" t="s">
        <v>394</v>
      </c>
      <c r="C160" s="22">
        <v>0.67</v>
      </c>
    </row>
    <row r="161" spans="1:3">
      <c r="A161" s="27" t="s">
        <v>395</v>
      </c>
      <c r="B161" s="4" t="s">
        <v>396</v>
      </c>
      <c r="C161" s="22">
        <v>0.67</v>
      </c>
    </row>
    <row r="162" spans="1:3">
      <c r="A162" s="27" t="s">
        <v>397</v>
      </c>
      <c r="B162" s="4" t="s">
        <v>398</v>
      </c>
      <c r="C162" s="22">
        <v>0.67</v>
      </c>
    </row>
    <row r="163" spans="1:3">
      <c r="A163" s="27" t="s">
        <v>399</v>
      </c>
      <c r="B163" s="4" t="s">
        <v>400</v>
      </c>
      <c r="C163" s="22">
        <v>0.67</v>
      </c>
    </row>
    <row r="164" spans="1:3">
      <c r="A164" s="27" t="s">
        <v>401</v>
      </c>
      <c r="B164" s="4" t="s">
        <v>402</v>
      </c>
      <c r="C164" s="22">
        <v>0.67</v>
      </c>
    </row>
    <row r="165" spans="1:3">
      <c r="A165" s="27" t="s">
        <v>403</v>
      </c>
      <c r="B165" s="4" t="s">
        <v>404</v>
      </c>
      <c r="C165" s="22">
        <v>0.67</v>
      </c>
    </row>
    <row r="166" spans="1:3">
      <c r="A166" s="27" t="s">
        <v>405</v>
      </c>
      <c r="B166" s="4" t="s">
        <v>406</v>
      </c>
      <c r="C166" s="22">
        <v>0.67</v>
      </c>
    </row>
    <row r="167" spans="1:3">
      <c r="A167" s="27" t="s">
        <v>407</v>
      </c>
      <c r="B167" s="4" t="s">
        <v>408</v>
      </c>
      <c r="C167" s="22">
        <v>0.67</v>
      </c>
    </row>
    <row r="168" spans="1:3">
      <c r="A168" s="27" t="s">
        <v>409</v>
      </c>
      <c r="B168" s="4" t="s">
        <v>410</v>
      </c>
      <c r="C168" s="22">
        <v>0.67</v>
      </c>
    </row>
    <row r="169" spans="1:3">
      <c r="A169" s="27" t="s">
        <v>411</v>
      </c>
      <c r="B169" s="4" t="s">
        <v>412</v>
      </c>
      <c r="C169" s="22">
        <v>0.67</v>
      </c>
    </row>
    <row r="170" spans="1:3">
      <c r="A170" s="27" t="s">
        <v>413</v>
      </c>
      <c r="B170" s="4" t="s">
        <v>414</v>
      </c>
      <c r="C170" s="22">
        <v>0.67</v>
      </c>
    </row>
    <row r="171" spans="1:3">
      <c r="A171" s="27" t="s">
        <v>415</v>
      </c>
      <c r="B171" s="4" t="s">
        <v>416</v>
      </c>
      <c r="C171" s="22">
        <v>0.67</v>
      </c>
    </row>
    <row r="172" spans="1:3">
      <c r="A172" s="27" t="s">
        <v>417</v>
      </c>
      <c r="B172" s="4" t="s">
        <v>418</v>
      </c>
      <c r="C172" s="22">
        <v>0.67</v>
      </c>
    </row>
    <row r="173" spans="1:3">
      <c r="A173" s="27" t="s">
        <v>419</v>
      </c>
      <c r="B173" s="4" t="s">
        <v>420</v>
      </c>
      <c r="C173" s="22">
        <v>0.67</v>
      </c>
    </row>
    <row r="174" spans="1:3">
      <c r="A174" s="27" t="s">
        <v>421</v>
      </c>
      <c r="B174" s="4" t="s">
        <v>422</v>
      </c>
      <c r="C174" s="22">
        <v>0.67</v>
      </c>
    </row>
    <row r="175" spans="1:3">
      <c r="A175" s="27" t="s">
        <v>423</v>
      </c>
      <c r="B175" s="4" t="s">
        <v>424</v>
      </c>
      <c r="C175" s="22">
        <v>0.67</v>
      </c>
    </row>
    <row r="176" spans="1:3">
      <c r="A176" s="27" t="s">
        <v>425</v>
      </c>
      <c r="B176" s="4" t="s">
        <v>426</v>
      </c>
      <c r="C176" s="22">
        <v>0.67</v>
      </c>
    </row>
    <row r="177" spans="1:3">
      <c r="A177" s="27" t="s">
        <v>427</v>
      </c>
      <c r="B177" s="4" t="s">
        <v>428</v>
      </c>
      <c r="C177" s="22">
        <v>0.67</v>
      </c>
    </row>
    <row r="178" spans="1:3">
      <c r="A178" s="27" t="s">
        <v>429</v>
      </c>
      <c r="B178" s="4" t="s">
        <v>430</v>
      </c>
      <c r="C178" s="22">
        <v>0.67</v>
      </c>
    </row>
    <row r="179" spans="1:3">
      <c r="A179" s="27" t="s">
        <v>431</v>
      </c>
      <c r="B179" s="4" t="s">
        <v>432</v>
      </c>
      <c r="C179" s="22">
        <v>0.67</v>
      </c>
    </row>
    <row r="180" spans="1:3">
      <c r="A180" s="27" t="s">
        <v>433</v>
      </c>
      <c r="B180" s="4" t="s">
        <v>434</v>
      </c>
      <c r="C180" s="22">
        <v>0.67</v>
      </c>
    </row>
    <row r="181" spans="1:3">
      <c r="A181" s="27" t="s">
        <v>435</v>
      </c>
      <c r="B181" s="4" t="s">
        <v>436</v>
      </c>
      <c r="C181" s="22">
        <v>0.67</v>
      </c>
    </row>
    <row r="182" spans="1:3">
      <c r="A182" s="27" t="s">
        <v>437</v>
      </c>
      <c r="B182" s="4" t="s">
        <v>438</v>
      </c>
      <c r="C182" s="22">
        <v>0.67</v>
      </c>
    </row>
    <row r="183" spans="1:3">
      <c r="A183" s="27" t="s">
        <v>439</v>
      </c>
      <c r="B183" s="4" t="s">
        <v>440</v>
      </c>
      <c r="C183" s="22">
        <v>0.67</v>
      </c>
    </row>
    <row r="184" spans="1:3">
      <c r="A184" s="27" t="s">
        <v>441</v>
      </c>
      <c r="B184" s="4" t="s">
        <v>442</v>
      </c>
      <c r="C184" s="22">
        <v>0.67</v>
      </c>
    </row>
    <row r="185" spans="1:3">
      <c r="A185" s="27" t="s">
        <v>443</v>
      </c>
      <c r="B185" s="4" t="s">
        <v>444</v>
      </c>
      <c r="C185" s="22">
        <v>0.67</v>
      </c>
    </row>
    <row r="186" spans="1:3">
      <c r="A186" s="27" t="s">
        <v>445</v>
      </c>
      <c r="B186" s="4" t="s">
        <v>446</v>
      </c>
      <c r="C186" s="22">
        <v>0.67</v>
      </c>
    </row>
    <row r="187" spans="1:3">
      <c r="A187" s="27" t="s">
        <v>447</v>
      </c>
      <c r="B187" s="4" t="s">
        <v>448</v>
      </c>
      <c r="C187" s="22">
        <v>0.67</v>
      </c>
    </row>
    <row r="188" spans="1:3">
      <c r="A188" s="27" t="s">
        <v>449</v>
      </c>
      <c r="B188" s="4" t="s">
        <v>450</v>
      </c>
      <c r="C188" s="22">
        <v>0.67</v>
      </c>
    </row>
    <row r="189" spans="1:3">
      <c r="A189" s="27" t="s">
        <v>451</v>
      </c>
      <c r="B189" s="4" t="s">
        <v>452</v>
      </c>
      <c r="C189" s="22">
        <v>0.67</v>
      </c>
    </row>
    <row r="190" spans="1:3">
      <c r="A190" s="27" t="s">
        <v>453</v>
      </c>
      <c r="B190" s="4" t="s">
        <v>454</v>
      </c>
      <c r="C190" s="22">
        <v>0.67</v>
      </c>
    </row>
    <row r="191" spans="1:3">
      <c r="A191" s="27" t="s">
        <v>455</v>
      </c>
      <c r="B191" s="4" t="s">
        <v>456</v>
      </c>
      <c r="C191" s="22">
        <v>0.67</v>
      </c>
    </row>
    <row r="192" spans="1:3">
      <c r="A192" s="27" t="s">
        <v>457</v>
      </c>
      <c r="B192" s="4" t="s">
        <v>458</v>
      </c>
      <c r="C192" s="22">
        <v>0.67</v>
      </c>
    </row>
    <row r="193" spans="1:3">
      <c r="A193" s="27" t="s">
        <v>459</v>
      </c>
      <c r="B193" s="4" t="s">
        <v>460</v>
      </c>
      <c r="C193" s="22">
        <v>0.67</v>
      </c>
    </row>
    <row r="194" spans="1:3">
      <c r="A194" s="27" t="s">
        <v>461</v>
      </c>
      <c r="B194" s="4" t="s">
        <v>462</v>
      </c>
      <c r="C194" s="22">
        <v>0.67</v>
      </c>
    </row>
    <row r="195" spans="1:3">
      <c r="A195" s="27" t="s">
        <v>463</v>
      </c>
      <c r="B195" s="4" t="s">
        <v>464</v>
      </c>
      <c r="C195" s="22">
        <v>0.67</v>
      </c>
    </row>
    <row r="196" spans="1:3">
      <c r="A196" s="27" t="s">
        <v>465</v>
      </c>
      <c r="B196" s="4" t="s">
        <v>466</v>
      </c>
      <c r="C196" s="22">
        <v>0.67</v>
      </c>
    </row>
    <row r="197" spans="1:3">
      <c r="A197" s="27" t="s">
        <v>467</v>
      </c>
      <c r="B197" s="4" t="s">
        <v>468</v>
      </c>
      <c r="C197" s="22">
        <v>0.67</v>
      </c>
    </row>
    <row r="198" spans="1:3">
      <c r="A198" s="27" t="s">
        <v>469</v>
      </c>
      <c r="B198" s="4" t="s">
        <v>470</v>
      </c>
      <c r="C198" s="22">
        <v>0.67</v>
      </c>
    </row>
    <row r="199" spans="1:3">
      <c r="A199" s="27" t="s">
        <v>471</v>
      </c>
      <c r="B199" s="4" t="s">
        <v>472</v>
      </c>
      <c r="C199" s="22">
        <v>0.67</v>
      </c>
    </row>
    <row r="200" spans="1:3">
      <c r="A200" s="27" t="s">
        <v>473</v>
      </c>
      <c r="B200" s="4" t="s">
        <v>474</v>
      </c>
      <c r="C200" s="22">
        <v>0.67</v>
      </c>
    </row>
    <row r="201" spans="1:3">
      <c r="A201" s="27" t="s">
        <v>475</v>
      </c>
      <c r="B201" s="4" t="s">
        <v>476</v>
      </c>
      <c r="C201" s="22">
        <v>0.67</v>
      </c>
    </row>
    <row r="202" spans="1:3">
      <c r="A202" s="27" t="s">
        <v>477</v>
      </c>
      <c r="B202" s="4" t="s">
        <v>478</v>
      </c>
      <c r="C202" s="22">
        <v>0.67</v>
      </c>
    </row>
    <row r="203" spans="1:3">
      <c r="A203" s="27" t="s">
        <v>479</v>
      </c>
      <c r="B203" s="4" t="s">
        <v>480</v>
      </c>
      <c r="C203" s="22">
        <v>0.67</v>
      </c>
    </row>
    <row r="204" spans="1:3">
      <c r="A204" s="27" t="s">
        <v>481</v>
      </c>
      <c r="B204" s="4" t="s">
        <v>482</v>
      </c>
      <c r="C204" s="22">
        <v>0.67</v>
      </c>
    </row>
    <row r="205" spans="1:3">
      <c r="A205" s="27" t="s">
        <v>483</v>
      </c>
      <c r="B205" s="4" t="s">
        <v>484</v>
      </c>
      <c r="C205" s="22">
        <v>0.67</v>
      </c>
    </row>
    <row r="206" spans="1:3">
      <c r="A206" s="27" t="s">
        <v>485</v>
      </c>
      <c r="B206" s="4" t="s">
        <v>486</v>
      </c>
      <c r="C206" s="22">
        <v>0.67</v>
      </c>
    </row>
    <row r="207" spans="1:3">
      <c r="A207" s="27" t="s">
        <v>487</v>
      </c>
      <c r="B207" s="4" t="s">
        <v>488</v>
      </c>
      <c r="C207" s="22">
        <v>0.67</v>
      </c>
    </row>
    <row r="208" spans="1:3">
      <c r="A208" s="27" t="s">
        <v>489</v>
      </c>
      <c r="B208" s="4" t="s">
        <v>490</v>
      </c>
      <c r="C208" s="22">
        <v>0.67</v>
      </c>
    </row>
    <row r="209" spans="1:3">
      <c r="A209" s="27" t="s">
        <v>491</v>
      </c>
      <c r="B209" s="4" t="s">
        <v>492</v>
      </c>
      <c r="C209" s="22">
        <v>0.67</v>
      </c>
    </row>
    <row r="210" spans="1:3">
      <c r="A210" s="27" t="s">
        <v>493</v>
      </c>
      <c r="B210" s="4" t="s">
        <v>494</v>
      </c>
      <c r="C210" s="22">
        <v>0.67</v>
      </c>
    </row>
    <row r="211" spans="1:3">
      <c r="A211" s="27" t="s">
        <v>495</v>
      </c>
      <c r="B211" s="4" t="s">
        <v>496</v>
      </c>
      <c r="C211" s="22">
        <v>0.67</v>
      </c>
    </row>
    <row r="212" spans="1:3">
      <c r="A212" s="27" t="s">
        <v>497</v>
      </c>
      <c r="B212" s="4" t="s">
        <v>498</v>
      </c>
      <c r="C212" s="22">
        <v>0.67</v>
      </c>
    </row>
    <row r="213" spans="1:3">
      <c r="A213" s="27" t="s">
        <v>499</v>
      </c>
      <c r="B213" s="4" t="s">
        <v>500</v>
      </c>
      <c r="C213" s="22">
        <v>0.67</v>
      </c>
    </row>
    <row r="214" spans="1:3">
      <c r="A214" s="27" t="s">
        <v>501</v>
      </c>
      <c r="B214" s="4" t="s">
        <v>502</v>
      </c>
      <c r="C214" s="22">
        <v>0.67</v>
      </c>
    </row>
    <row r="215" spans="1:3">
      <c r="A215" s="27" t="s">
        <v>503</v>
      </c>
      <c r="B215" s="4" t="s">
        <v>504</v>
      </c>
      <c r="C215" s="22">
        <v>0.67</v>
      </c>
    </row>
    <row r="216" spans="1:3">
      <c r="A216" s="27" t="s">
        <v>505</v>
      </c>
      <c r="B216" s="4" t="s">
        <v>506</v>
      </c>
      <c r="C216" s="22">
        <v>0.67</v>
      </c>
    </row>
    <row r="217" spans="1:3">
      <c r="A217" s="27" t="s">
        <v>507</v>
      </c>
      <c r="B217" s="4" t="s">
        <v>508</v>
      </c>
      <c r="C217" s="22">
        <v>0.67</v>
      </c>
    </row>
    <row r="218" spans="1:3">
      <c r="A218" s="27" t="s">
        <v>509</v>
      </c>
      <c r="B218" s="4" t="s">
        <v>510</v>
      </c>
      <c r="C218" s="22">
        <v>0.67</v>
      </c>
    </row>
    <row r="219" spans="1:3">
      <c r="A219" s="27" t="s">
        <v>511</v>
      </c>
      <c r="B219" s="4" t="s">
        <v>512</v>
      </c>
      <c r="C219" s="22">
        <v>0.67</v>
      </c>
    </row>
    <row r="220" spans="1:3">
      <c r="A220" s="27" t="s">
        <v>513</v>
      </c>
      <c r="B220" s="4" t="s">
        <v>514</v>
      </c>
      <c r="C220" s="22">
        <v>0.67</v>
      </c>
    </row>
    <row r="221" spans="1:3">
      <c r="A221" s="27" t="s">
        <v>515</v>
      </c>
      <c r="B221" s="4" t="s">
        <v>516</v>
      </c>
      <c r="C221" s="22">
        <v>0.67</v>
      </c>
    </row>
    <row r="222" spans="1:3">
      <c r="A222" s="27" t="s">
        <v>517</v>
      </c>
      <c r="B222" s="4" t="s">
        <v>518</v>
      </c>
      <c r="C222" s="22">
        <v>0.67</v>
      </c>
    </row>
    <row r="223" spans="1:3">
      <c r="A223" s="27" t="s">
        <v>519</v>
      </c>
      <c r="B223" s="4" t="s">
        <v>520</v>
      </c>
      <c r="C223" s="22">
        <v>0.67</v>
      </c>
    </row>
    <row r="224" spans="1:3">
      <c r="A224" s="27" t="s">
        <v>521</v>
      </c>
      <c r="B224" s="4" t="s">
        <v>522</v>
      </c>
      <c r="C224" s="22">
        <v>0.67</v>
      </c>
    </row>
    <row r="225" spans="1:3">
      <c r="A225" s="27" t="s">
        <v>523</v>
      </c>
      <c r="B225" s="4" t="s">
        <v>524</v>
      </c>
      <c r="C225" s="22">
        <v>0.67</v>
      </c>
    </row>
    <row r="226" spans="1:3">
      <c r="A226" s="27" t="s">
        <v>525</v>
      </c>
      <c r="B226" s="4" t="s">
        <v>526</v>
      </c>
      <c r="C226" s="22">
        <v>0.67</v>
      </c>
    </row>
    <row r="227" spans="1:3">
      <c r="A227" s="27" t="s">
        <v>527</v>
      </c>
      <c r="B227" s="4" t="s">
        <v>528</v>
      </c>
      <c r="C227" s="22">
        <v>0.67</v>
      </c>
    </row>
    <row r="228" spans="1:3">
      <c r="A228" s="27" t="s">
        <v>529</v>
      </c>
      <c r="B228" s="4" t="s">
        <v>530</v>
      </c>
      <c r="C228" s="22">
        <v>0.67</v>
      </c>
    </row>
    <row r="229" spans="1:3">
      <c r="A229" s="27" t="s">
        <v>531</v>
      </c>
      <c r="B229" s="4" t="s">
        <v>532</v>
      </c>
      <c r="C229" s="22">
        <v>0.67</v>
      </c>
    </row>
    <row r="230" spans="1:3">
      <c r="A230" s="27" t="s">
        <v>533</v>
      </c>
      <c r="B230" s="4" t="s">
        <v>534</v>
      </c>
      <c r="C230" s="22">
        <v>0.67</v>
      </c>
    </row>
    <row r="231" spans="1:3">
      <c r="A231" s="27" t="s">
        <v>535</v>
      </c>
      <c r="B231" s="4" t="s">
        <v>536</v>
      </c>
      <c r="C231" s="22">
        <v>0.67</v>
      </c>
    </row>
    <row r="232" spans="1:3">
      <c r="A232" s="27" t="s">
        <v>537</v>
      </c>
      <c r="B232" s="4" t="s">
        <v>538</v>
      </c>
      <c r="C232" s="22">
        <v>0.67</v>
      </c>
    </row>
    <row r="233" spans="1:3">
      <c r="A233" s="27" t="s">
        <v>539</v>
      </c>
      <c r="B233" s="4" t="s">
        <v>540</v>
      </c>
      <c r="C233" s="22">
        <v>0.67</v>
      </c>
    </row>
    <row r="234" spans="1:3">
      <c r="A234" s="27" t="s">
        <v>541</v>
      </c>
      <c r="B234" s="4" t="s">
        <v>542</v>
      </c>
      <c r="C234" s="22">
        <v>0.67</v>
      </c>
    </row>
    <row r="235" spans="1:3">
      <c r="A235" s="27" t="s">
        <v>543</v>
      </c>
      <c r="B235" s="4" t="s">
        <v>544</v>
      </c>
      <c r="C235" s="22">
        <v>0.67</v>
      </c>
    </row>
    <row r="236" spans="1:3">
      <c r="A236" s="27" t="s">
        <v>545</v>
      </c>
      <c r="B236" s="4" t="s">
        <v>546</v>
      </c>
      <c r="C236" s="22">
        <v>0.67</v>
      </c>
    </row>
    <row r="237" spans="1:3">
      <c r="A237" s="27" t="s">
        <v>547</v>
      </c>
      <c r="B237" s="4" t="s">
        <v>548</v>
      </c>
      <c r="C237" s="22">
        <v>0.67</v>
      </c>
    </row>
    <row r="238" spans="1:3">
      <c r="A238" s="27" t="s">
        <v>549</v>
      </c>
      <c r="B238" s="4" t="s">
        <v>550</v>
      </c>
      <c r="C238" s="22">
        <v>0.67</v>
      </c>
    </row>
    <row r="239" spans="1:3">
      <c r="A239" s="27" t="s">
        <v>551</v>
      </c>
      <c r="B239" s="4" t="s">
        <v>552</v>
      </c>
      <c r="C239" s="22">
        <v>0.67</v>
      </c>
    </row>
    <row r="240" spans="1:3">
      <c r="A240" s="27" t="s">
        <v>553</v>
      </c>
      <c r="B240" s="4" t="s">
        <v>554</v>
      </c>
      <c r="C240" s="22">
        <v>0.67</v>
      </c>
    </row>
    <row r="241" spans="1:3">
      <c r="A241" s="27" t="s">
        <v>555</v>
      </c>
      <c r="B241" s="4" t="s">
        <v>556</v>
      </c>
      <c r="C241" s="22">
        <v>0.67</v>
      </c>
    </row>
    <row r="242" spans="1:3">
      <c r="A242" s="27" t="s">
        <v>557</v>
      </c>
      <c r="B242" s="4" t="s">
        <v>558</v>
      </c>
      <c r="C242" s="22">
        <v>0.67</v>
      </c>
    </row>
    <row r="243" spans="1:3">
      <c r="A243" s="27" t="s">
        <v>559</v>
      </c>
      <c r="B243" s="4" t="s">
        <v>560</v>
      </c>
      <c r="C243" s="22">
        <v>0.67</v>
      </c>
    </row>
    <row r="244" spans="1:3">
      <c r="A244" s="27" t="s">
        <v>561</v>
      </c>
      <c r="B244" s="4" t="s">
        <v>562</v>
      </c>
      <c r="C244" s="22">
        <v>0.67</v>
      </c>
    </row>
    <row r="245" spans="1:3">
      <c r="A245" s="27" t="s">
        <v>563</v>
      </c>
      <c r="B245" s="4" t="s">
        <v>564</v>
      </c>
      <c r="C245" s="22">
        <v>0.67</v>
      </c>
    </row>
    <row r="246" spans="1:3">
      <c r="A246" s="27" t="s">
        <v>565</v>
      </c>
      <c r="B246" s="4" t="s">
        <v>566</v>
      </c>
      <c r="C246" s="22">
        <v>0.67</v>
      </c>
    </row>
    <row r="247" spans="1:3">
      <c r="A247" s="27" t="s">
        <v>567</v>
      </c>
      <c r="B247" s="4" t="s">
        <v>568</v>
      </c>
      <c r="C247" s="22">
        <v>0.67</v>
      </c>
    </row>
    <row r="248" spans="1:3">
      <c r="A248" s="27" t="s">
        <v>569</v>
      </c>
      <c r="B248" s="4" t="s">
        <v>570</v>
      </c>
      <c r="C248" s="22">
        <v>0.67</v>
      </c>
    </row>
    <row r="249" spans="1:3">
      <c r="A249" s="27" t="s">
        <v>571</v>
      </c>
      <c r="B249" s="4" t="s">
        <v>572</v>
      </c>
      <c r="C249" s="22">
        <v>0.67</v>
      </c>
    </row>
    <row r="250" spans="1:3">
      <c r="A250" s="27" t="s">
        <v>573</v>
      </c>
      <c r="B250" s="4" t="s">
        <v>574</v>
      </c>
      <c r="C250" s="22">
        <v>0.67</v>
      </c>
    </row>
    <row r="251" spans="1:3">
      <c r="A251" s="27" t="s">
        <v>575</v>
      </c>
      <c r="B251" s="4" t="s">
        <v>576</v>
      </c>
      <c r="C251" s="22">
        <v>0.67</v>
      </c>
    </row>
    <row r="252" spans="1:3">
      <c r="A252" s="27" t="s">
        <v>577</v>
      </c>
      <c r="B252" s="4" t="s">
        <v>578</v>
      </c>
      <c r="C252" s="22">
        <v>0.67</v>
      </c>
    </row>
    <row r="253" spans="1:3">
      <c r="A253" s="27" t="s">
        <v>579</v>
      </c>
      <c r="B253" s="4" t="s">
        <v>580</v>
      </c>
      <c r="C253" s="22">
        <v>0.67</v>
      </c>
    </row>
    <row r="254" spans="1:3">
      <c r="A254" s="27" t="s">
        <v>581</v>
      </c>
      <c r="B254" s="4" t="s">
        <v>582</v>
      </c>
      <c r="C254" s="22">
        <v>0.67</v>
      </c>
    </row>
    <row r="255" spans="1:3">
      <c r="A255" s="27" t="s">
        <v>583</v>
      </c>
      <c r="B255" s="4" t="s">
        <v>584</v>
      </c>
      <c r="C255" s="22">
        <v>0.67</v>
      </c>
    </row>
    <row r="256" spans="1:3">
      <c r="A256" s="27" t="s">
        <v>585</v>
      </c>
      <c r="B256" s="4" t="s">
        <v>586</v>
      </c>
      <c r="C256" s="22">
        <v>0.67</v>
      </c>
    </row>
    <row r="257" spans="1:3">
      <c r="A257" s="27" t="s">
        <v>587</v>
      </c>
      <c r="B257" s="4" t="s">
        <v>588</v>
      </c>
      <c r="C257" s="22">
        <v>0.67</v>
      </c>
    </row>
    <row r="258" spans="1:3">
      <c r="A258" s="27" t="s">
        <v>589</v>
      </c>
      <c r="B258" s="4" t="s">
        <v>590</v>
      </c>
      <c r="C258" s="22">
        <v>0.67</v>
      </c>
    </row>
    <row r="259" spans="1:3">
      <c r="A259" s="27" t="s">
        <v>591</v>
      </c>
      <c r="B259" s="4" t="s">
        <v>592</v>
      </c>
      <c r="C259" s="22">
        <v>0.67</v>
      </c>
    </row>
    <row r="260" spans="1:3">
      <c r="A260" s="27" t="s">
        <v>593</v>
      </c>
      <c r="B260" s="4" t="s">
        <v>594</v>
      </c>
      <c r="C260" s="22">
        <v>0.67</v>
      </c>
    </row>
    <row r="261" spans="1:3">
      <c r="A261" s="27" t="s">
        <v>595</v>
      </c>
      <c r="B261" s="4" t="s">
        <v>596</v>
      </c>
      <c r="C261" s="22">
        <v>0.67</v>
      </c>
    </row>
    <row r="262" spans="1:3">
      <c r="A262" s="27" t="s">
        <v>597</v>
      </c>
      <c r="B262" s="4" t="s">
        <v>598</v>
      </c>
      <c r="C262" s="22">
        <v>0.67</v>
      </c>
    </row>
    <row r="263" spans="1:3">
      <c r="A263" s="27" t="s">
        <v>599</v>
      </c>
      <c r="B263" s="4" t="s">
        <v>600</v>
      </c>
      <c r="C263" s="22">
        <v>0.67</v>
      </c>
    </row>
    <row r="264" spans="1:3">
      <c r="A264" s="27" t="s">
        <v>601</v>
      </c>
      <c r="B264" s="4" t="s">
        <v>602</v>
      </c>
      <c r="C264" s="22">
        <v>0.67</v>
      </c>
    </row>
    <row r="265" spans="1:3">
      <c r="A265" s="27" t="s">
        <v>603</v>
      </c>
      <c r="B265" s="4" t="s">
        <v>604</v>
      </c>
      <c r="C265" s="22">
        <v>0.67</v>
      </c>
    </row>
    <row r="266" spans="1:3">
      <c r="A266" s="27" t="s">
        <v>605</v>
      </c>
      <c r="B266" s="4" t="s">
        <v>606</v>
      </c>
      <c r="C266" s="22">
        <v>0.67</v>
      </c>
    </row>
    <row r="267" spans="1:3">
      <c r="A267" s="27" t="s">
        <v>607</v>
      </c>
      <c r="B267" s="4" t="s">
        <v>608</v>
      </c>
      <c r="C267" s="22">
        <v>0.67</v>
      </c>
    </row>
    <row r="268" spans="1:3">
      <c r="A268" s="27" t="s">
        <v>609</v>
      </c>
      <c r="B268" s="4" t="s">
        <v>610</v>
      </c>
      <c r="C268" s="22">
        <v>0.67</v>
      </c>
    </row>
    <row r="269" spans="1:3">
      <c r="A269" s="27" t="s">
        <v>611</v>
      </c>
      <c r="B269" s="4" t="s">
        <v>612</v>
      </c>
      <c r="C269" s="22">
        <v>0.67</v>
      </c>
    </row>
    <row r="270" spans="1:3">
      <c r="A270" s="27" t="s">
        <v>613</v>
      </c>
      <c r="B270" s="4" t="s">
        <v>614</v>
      </c>
      <c r="C270" s="22">
        <v>0.67</v>
      </c>
    </row>
    <row r="271" spans="1:3">
      <c r="A271" s="27" t="s">
        <v>615</v>
      </c>
      <c r="B271" s="4" t="s">
        <v>616</v>
      </c>
      <c r="C271" s="22">
        <v>0.67</v>
      </c>
    </row>
    <row r="272" spans="1:3">
      <c r="A272" s="27" t="s">
        <v>617</v>
      </c>
      <c r="B272" s="4" t="s">
        <v>618</v>
      </c>
      <c r="C272" s="22">
        <v>0.67</v>
      </c>
    </row>
    <row r="273" spans="1:3">
      <c r="A273" s="27" t="s">
        <v>619</v>
      </c>
      <c r="B273" s="4" t="s">
        <v>620</v>
      </c>
      <c r="C273" s="22">
        <v>0.67</v>
      </c>
    </row>
    <row r="274" spans="1:3">
      <c r="A274" s="27" t="s">
        <v>621</v>
      </c>
      <c r="B274" s="4" t="s">
        <v>622</v>
      </c>
      <c r="C274" s="22">
        <v>0.67</v>
      </c>
    </row>
    <row r="275" spans="1:3">
      <c r="A275" s="27" t="s">
        <v>623</v>
      </c>
      <c r="B275" s="4" t="s">
        <v>624</v>
      </c>
      <c r="C275" s="22">
        <v>0.67</v>
      </c>
    </row>
    <row r="276" spans="1:3">
      <c r="A276" s="27" t="s">
        <v>625</v>
      </c>
      <c r="B276" s="4" t="s">
        <v>626</v>
      </c>
      <c r="C276" s="22">
        <v>0.67</v>
      </c>
    </row>
    <row r="277" spans="1:3">
      <c r="A277" s="27" t="s">
        <v>627</v>
      </c>
      <c r="B277" s="4" t="s">
        <v>628</v>
      </c>
      <c r="C277" s="22">
        <v>0.67</v>
      </c>
    </row>
    <row r="278" spans="1:3">
      <c r="A278" s="27" t="s">
        <v>629</v>
      </c>
      <c r="B278" s="4" t="s">
        <v>630</v>
      </c>
      <c r="C278" s="22">
        <v>0.67</v>
      </c>
    </row>
    <row r="279" spans="1:3">
      <c r="A279" s="27" t="s">
        <v>631</v>
      </c>
      <c r="B279" s="4" t="s">
        <v>632</v>
      </c>
      <c r="C279" s="22">
        <v>0.67</v>
      </c>
    </row>
    <row r="280" spans="1:3">
      <c r="A280" s="27" t="s">
        <v>633</v>
      </c>
      <c r="B280" s="4" t="s">
        <v>634</v>
      </c>
      <c r="C280" s="22">
        <v>0.67</v>
      </c>
    </row>
    <row r="281" spans="1:3">
      <c r="A281" s="27" t="s">
        <v>635</v>
      </c>
      <c r="B281" s="4" t="s">
        <v>636</v>
      </c>
      <c r="C281" s="22">
        <v>0.67</v>
      </c>
    </row>
    <row r="282" spans="1:3">
      <c r="A282" s="27" t="s">
        <v>637</v>
      </c>
      <c r="B282" s="4" t="s">
        <v>638</v>
      </c>
      <c r="C282" s="22">
        <v>0.67</v>
      </c>
    </row>
    <row r="283" spans="1:3">
      <c r="A283" s="27" t="s">
        <v>639</v>
      </c>
      <c r="B283" s="4" t="s">
        <v>640</v>
      </c>
      <c r="C283" s="22">
        <v>0.67</v>
      </c>
    </row>
    <row r="284" spans="1:3">
      <c r="A284" s="27" t="s">
        <v>641</v>
      </c>
      <c r="B284" s="4" t="s">
        <v>642</v>
      </c>
      <c r="C284" s="22">
        <v>0.67</v>
      </c>
    </row>
    <row r="285" spans="1:3">
      <c r="A285" s="27" t="s">
        <v>643</v>
      </c>
      <c r="B285" s="4" t="s">
        <v>644</v>
      </c>
      <c r="C285" s="22">
        <v>0.67</v>
      </c>
    </row>
    <row r="286" spans="1:3">
      <c r="A286" s="27" t="s">
        <v>645</v>
      </c>
      <c r="B286" s="4" t="s">
        <v>646</v>
      </c>
      <c r="C286" s="22">
        <v>0.67</v>
      </c>
    </row>
    <row r="287" spans="1:3">
      <c r="A287" s="27" t="s">
        <v>647</v>
      </c>
      <c r="B287" s="4" t="s">
        <v>648</v>
      </c>
      <c r="C287" s="22">
        <v>0.67</v>
      </c>
    </row>
    <row r="288" spans="1:3">
      <c r="A288" s="27" t="s">
        <v>649</v>
      </c>
      <c r="B288" s="4" t="s">
        <v>650</v>
      </c>
      <c r="C288" s="22">
        <v>0.67</v>
      </c>
    </row>
    <row r="289" spans="1:3">
      <c r="A289" s="27" t="s">
        <v>651</v>
      </c>
      <c r="B289" s="4" t="s">
        <v>652</v>
      </c>
      <c r="C289" s="22">
        <v>0.67</v>
      </c>
    </row>
    <row r="290" spans="1:3">
      <c r="A290" s="27" t="s">
        <v>653</v>
      </c>
      <c r="B290" s="4" t="s">
        <v>654</v>
      </c>
      <c r="C290" s="22">
        <v>0.67</v>
      </c>
    </row>
    <row r="291" spans="1:3">
      <c r="A291" s="27" t="s">
        <v>655</v>
      </c>
      <c r="B291" s="4" t="s">
        <v>656</v>
      </c>
      <c r="C291" s="22">
        <v>0.67</v>
      </c>
    </row>
    <row r="292" spans="1:3">
      <c r="A292" s="27" t="s">
        <v>657</v>
      </c>
      <c r="B292" s="4" t="s">
        <v>658</v>
      </c>
      <c r="C292" s="22">
        <v>0.67</v>
      </c>
    </row>
    <row r="293" spans="1:3">
      <c r="A293" s="27" t="s">
        <v>659</v>
      </c>
      <c r="B293" s="4" t="s">
        <v>660</v>
      </c>
      <c r="C293" s="22">
        <v>0.67</v>
      </c>
    </row>
    <row r="294" spans="1:3">
      <c r="A294" s="27" t="s">
        <v>661</v>
      </c>
      <c r="B294" s="4" t="s">
        <v>662</v>
      </c>
      <c r="C294" s="22">
        <v>0.67</v>
      </c>
    </row>
    <row r="295" spans="1:3">
      <c r="A295" s="27" t="s">
        <v>663</v>
      </c>
      <c r="B295" s="4" t="s">
        <v>664</v>
      </c>
      <c r="C295" s="22">
        <v>0.67</v>
      </c>
    </row>
    <row r="296" spans="1:3">
      <c r="A296" s="27" t="s">
        <v>665</v>
      </c>
      <c r="B296" s="4" t="s">
        <v>666</v>
      </c>
      <c r="C296" s="22">
        <v>0.67</v>
      </c>
    </row>
    <row r="297" spans="1:3">
      <c r="A297" s="27" t="s">
        <v>667</v>
      </c>
      <c r="B297" s="4" t="s">
        <v>668</v>
      </c>
      <c r="C297" s="22">
        <v>0.67</v>
      </c>
    </row>
    <row r="298" spans="1:3">
      <c r="A298" s="27" t="s">
        <v>669</v>
      </c>
      <c r="B298" s="4" t="s">
        <v>670</v>
      </c>
      <c r="C298" s="22">
        <v>0.67</v>
      </c>
    </row>
    <row r="299" spans="1:3">
      <c r="A299" s="27" t="s">
        <v>671</v>
      </c>
      <c r="B299" s="4" t="s">
        <v>672</v>
      </c>
      <c r="C299" s="22">
        <v>0.67</v>
      </c>
    </row>
    <row r="300" spans="1:3">
      <c r="A300" s="27" t="s">
        <v>673</v>
      </c>
      <c r="B300" s="4" t="s">
        <v>674</v>
      </c>
      <c r="C300" s="22">
        <v>0.67</v>
      </c>
    </row>
    <row r="301" spans="1:3">
      <c r="A301" s="27" t="s">
        <v>675</v>
      </c>
      <c r="B301" s="4" t="s">
        <v>676</v>
      </c>
      <c r="C301" s="22">
        <v>0.67</v>
      </c>
    </row>
    <row r="302" spans="1:3">
      <c r="A302" s="27" t="s">
        <v>677</v>
      </c>
      <c r="B302" s="4" t="s">
        <v>678</v>
      </c>
      <c r="C302" s="22">
        <v>0.67</v>
      </c>
    </row>
    <row r="303" spans="1:3">
      <c r="A303" s="27" t="s">
        <v>679</v>
      </c>
      <c r="B303" s="4" t="s">
        <v>680</v>
      </c>
      <c r="C303" s="22">
        <v>0.67</v>
      </c>
    </row>
    <row r="304" spans="1:3">
      <c r="A304" s="27" t="s">
        <v>681</v>
      </c>
      <c r="B304" s="4" t="s">
        <v>682</v>
      </c>
      <c r="C304" s="22">
        <v>0.67</v>
      </c>
    </row>
    <row r="305" spans="1:3">
      <c r="A305" s="27" t="s">
        <v>683</v>
      </c>
      <c r="B305" s="4" t="s">
        <v>684</v>
      </c>
      <c r="C305" s="22">
        <v>0.67</v>
      </c>
    </row>
    <row r="306" spans="1:3">
      <c r="A306" s="27" t="s">
        <v>685</v>
      </c>
      <c r="B306" s="4" t="s">
        <v>686</v>
      </c>
      <c r="C306" s="22">
        <v>0.67</v>
      </c>
    </row>
    <row r="307" spans="1:3">
      <c r="A307" s="27" t="s">
        <v>687</v>
      </c>
      <c r="B307" s="4" t="s">
        <v>688</v>
      </c>
      <c r="C307" s="22">
        <v>0.67</v>
      </c>
    </row>
    <row r="308" spans="1:3">
      <c r="A308" s="27" t="s">
        <v>689</v>
      </c>
      <c r="B308" s="4" t="s">
        <v>690</v>
      </c>
      <c r="C308" s="22">
        <v>0.67</v>
      </c>
    </row>
    <row r="309" spans="1:3">
      <c r="A309" s="27" t="s">
        <v>691</v>
      </c>
      <c r="B309" s="4" t="s">
        <v>692</v>
      </c>
      <c r="C309" s="22">
        <v>0.67</v>
      </c>
    </row>
    <row r="310" spans="1:3">
      <c r="A310" s="27" t="s">
        <v>693</v>
      </c>
      <c r="B310" s="4" t="s">
        <v>694</v>
      </c>
      <c r="C310" s="22">
        <v>0.67</v>
      </c>
    </row>
    <row r="311" spans="1:3">
      <c r="A311" s="27" t="s">
        <v>695</v>
      </c>
      <c r="B311" s="4" t="s">
        <v>696</v>
      </c>
      <c r="C311" s="22">
        <v>0.67</v>
      </c>
    </row>
    <row r="312" spans="1:3">
      <c r="A312" s="27" t="s">
        <v>697</v>
      </c>
      <c r="B312" s="4" t="s">
        <v>698</v>
      </c>
      <c r="C312" s="22">
        <v>0.67</v>
      </c>
    </row>
    <row r="313" spans="1:3">
      <c r="A313" s="27" t="s">
        <v>699</v>
      </c>
      <c r="B313" s="4" t="s">
        <v>700</v>
      </c>
      <c r="C313" s="22">
        <v>0.67</v>
      </c>
    </row>
    <row r="314" spans="1:3">
      <c r="A314" s="27" t="s">
        <v>701</v>
      </c>
      <c r="B314" s="4" t="s">
        <v>702</v>
      </c>
      <c r="C314" s="22">
        <v>0.67</v>
      </c>
    </row>
    <row r="315" spans="1:3">
      <c r="A315" s="27" t="s">
        <v>703</v>
      </c>
      <c r="B315" s="4" t="s">
        <v>704</v>
      </c>
      <c r="C315" s="22">
        <v>0.67</v>
      </c>
    </row>
    <row r="316" spans="1:3">
      <c r="A316" s="27" t="s">
        <v>705</v>
      </c>
      <c r="B316" s="4" t="s">
        <v>706</v>
      </c>
      <c r="C316" s="22">
        <v>0.67</v>
      </c>
    </row>
    <row r="317" spans="1:3">
      <c r="A317" s="27" t="s">
        <v>707</v>
      </c>
      <c r="B317" s="4" t="s">
        <v>708</v>
      </c>
      <c r="C317" s="22">
        <v>0.67</v>
      </c>
    </row>
    <row r="318" spans="1:3">
      <c r="A318" s="27" t="s">
        <v>709</v>
      </c>
      <c r="B318" s="4" t="s">
        <v>710</v>
      </c>
      <c r="C318" s="22">
        <v>0.67</v>
      </c>
    </row>
    <row r="319" spans="1:3">
      <c r="A319" s="27" t="s">
        <v>711</v>
      </c>
      <c r="B319" s="4" t="s">
        <v>712</v>
      </c>
      <c r="C319" s="22">
        <v>0.67</v>
      </c>
    </row>
    <row r="320" spans="1:3">
      <c r="A320" s="27" t="s">
        <v>713</v>
      </c>
      <c r="B320" s="4" t="s">
        <v>714</v>
      </c>
      <c r="C320" s="22">
        <v>0.67</v>
      </c>
    </row>
    <row r="321" spans="1:3">
      <c r="A321" s="27" t="s">
        <v>715</v>
      </c>
      <c r="B321" s="4" t="s">
        <v>716</v>
      </c>
      <c r="C321" s="22">
        <v>0.67</v>
      </c>
    </row>
    <row r="322" spans="1:3">
      <c r="A322" s="27" t="s">
        <v>717</v>
      </c>
      <c r="B322" s="4" t="s">
        <v>718</v>
      </c>
      <c r="C322" s="22">
        <v>0.67</v>
      </c>
    </row>
    <row r="323" spans="1:3">
      <c r="A323" s="27" t="s">
        <v>719</v>
      </c>
      <c r="B323" s="4" t="s">
        <v>720</v>
      </c>
      <c r="C323" s="22">
        <v>0.67</v>
      </c>
    </row>
    <row r="324" spans="1:3">
      <c r="A324" s="27" t="s">
        <v>721</v>
      </c>
      <c r="B324" s="4" t="s">
        <v>722</v>
      </c>
      <c r="C324" s="22">
        <v>0.67</v>
      </c>
    </row>
    <row r="325" spans="1:3">
      <c r="A325" s="27" t="s">
        <v>723</v>
      </c>
      <c r="B325" s="4" t="s">
        <v>724</v>
      </c>
      <c r="C325" s="22">
        <v>0.67</v>
      </c>
    </row>
    <row r="326" spans="1:3">
      <c r="A326" s="27" t="s">
        <v>725</v>
      </c>
      <c r="B326" s="4" t="s">
        <v>726</v>
      </c>
      <c r="C326" s="22">
        <v>0.67</v>
      </c>
    </row>
    <row r="327" spans="1:3">
      <c r="A327" s="27" t="s">
        <v>727</v>
      </c>
      <c r="B327" s="4" t="s">
        <v>728</v>
      </c>
      <c r="C327" s="22">
        <v>0.67</v>
      </c>
    </row>
    <row r="328" spans="1:3">
      <c r="A328" s="27" t="s">
        <v>729</v>
      </c>
      <c r="B328" s="4" t="s">
        <v>730</v>
      </c>
      <c r="C328" s="22">
        <v>0.67</v>
      </c>
    </row>
    <row r="329" spans="1:3">
      <c r="A329" s="27" t="s">
        <v>731</v>
      </c>
      <c r="B329" s="4" t="s">
        <v>732</v>
      </c>
      <c r="C329" s="22">
        <v>0.67</v>
      </c>
    </row>
    <row r="330" spans="1:3">
      <c r="A330" s="27" t="s">
        <v>733</v>
      </c>
      <c r="B330" s="4" t="s">
        <v>734</v>
      </c>
      <c r="C330" s="22">
        <v>0.67</v>
      </c>
    </row>
    <row r="331" spans="1:3">
      <c r="A331" s="27" t="s">
        <v>735</v>
      </c>
      <c r="B331" s="4" t="s">
        <v>736</v>
      </c>
      <c r="C331" s="22">
        <v>0.67</v>
      </c>
    </row>
    <row r="332" spans="1:3">
      <c r="A332" s="27" t="s">
        <v>737</v>
      </c>
      <c r="B332" s="4" t="s">
        <v>738</v>
      </c>
      <c r="C332" s="22">
        <v>0.67</v>
      </c>
    </row>
    <row r="333" spans="1:3">
      <c r="A333" s="27" t="s">
        <v>739</v>
      </c>
      <c r="B333" s="4" t="s">
        <v>740</v>
      </c>
      <c r="C333" s="22">
        <v>0.67</v>
      </c>
    </row>
    <row r="334" spans="1:3">
      <c r="A334" s="27" t="s">
        <v>741</v>
      </c>
      <c r="B334" s="4" t="s">
        <v>742</v>
      </c>
      <c r="C334" s="22">
        <v>0.67</v>
      </c>
    </row>
    <row r="335" spans="1:3">
      <c r="A335" s="27" t="s">
        <v>743</v>
      </c>
      <c r="B335" s="4" t="s">
        <v>744</v>
      </c>
      <c r="C335" s="22">
        <v>0.67</v>
      </c>
    </row>
    <row r="336" spans="1:3">
      <c r="A336" s="27" t="s">
        <v>745</v>
      </c>
      <c r="B336" s="4" t="s">
        <v>746</v>
      </c>
      <c r="C336" s="22">
        <v>0.67</v>
      </c>
    </row>
    <row r="337" spans="1:3">
      <c r="A337" s="27" t="s">
        <v>747</v>
      </c>
      <c r="B337" s="4" t="s">
        <v>748</v>
      </c>
      <c r="C337" s="22">
        <v>0.67</v>
      </c>
    </row>
    <row r="338" spans="1:3">
      <c r="A338" s="27" t="s">
        <v>749</v>
      </c>
      <c r="B338" s="4" t="s">
        <v>750</v>
      </c>
      <c r="C338" s="22">
        <v>0.67</v>
      </c>
    </row>
    <row r="339" spans="1:3">
      <c r="A339" s="27" t="s">
        <v>751</v>
      </c>
      <c r="B339" s="4" t="s">
        <v>752</v>
      </c>
      <c r="C339" s="22">
        <v>0.67</v>
      </c>
    </row>
    <row r="340" spans="1:3">
      <c r="A340" s="27" t="s">
        <v>753</v>
      </c>
      <c r="B340" s="4" t="s">
        <v>754</v>
      </c>
      <c r="C340" s="22">
        <v>0.67</v>
      </c>
    </row>
    <row r="341" spans="1:3">
      <c r="A341" s="27" t="s">
        <v>755</v>
      </c>
      <c r="B341" s="4" t="s">
        <v>756</v>
      </c>
      <c r="C341" s="22">
        <v>0.67</v>
      </c>
    </row>
    <row r="342" spans="1:3">
      <c r="A342" s="27" t="s">
        <v>757</v>
      </c>
      <c r="B342" s="4" t="s">
        <v>758</v>
      </c>
      <c r="C342" s="22">
        <v>0.67</v>
      </c>
    </row>
    <row r="343" spans="1:3">
      <c r="A343" s="27" t="s">
        <v>759</v>
      </c>
      <c r="B343" s="4" t="s">
        <v>760</v>
      </c>
      <c r="C343" s="22">
        <v>0.67</v>
      </c>
    </row>
    <row r="344" spans="1:3">
      <c r="A344" s="27" t="s">
        <v>761</v>
      </c>
      <c r="B344" s="4" t="s">
        <v>762</v>
      </c>
      <c r="C344" s="22">
        <v>0.67</v>
      </c>
    </row>
    <row r="345" spans="1:3">
      <c r="A345" s="27" t="s">
        <v>763</v>
      </c>
      <c r="B345" s="4" t="s">
        <v>764</v>
      </c>
      <c r="C345" s="22">
        <v>0.67</v>
      </c>
    </row>
    <row r="346" spans="1:3">
      <c r="A346" s="27" t="s">
        <v>765</v>
      </c>
      <c r="B346" s="4" t="s">
        <v>766</v>
      </c>
      <c r="C346" s="22">
        <v>0.67</v>
      </c>
    </row>
    <row r="347" spans="1:3">
      <c r="A347" s="27" t="s">
        <v>767</v>
      </c>
      <c r="B347" s="4" t="s">
        <v>768</v>
      </c>
      <c r="C347" s="22">
        <v>0.67</v>
      </c>
    </row>
    <row r="348" spans="1:3">
      <c r="A348" s="27" t="s">
        <v>769</v>
      </c>
      <c r="B348" s="4" t="s">
        <v>770</v>
      </c>
      <c r="C348" s="22">
        <v>0.67</v>
      </c>
    </row>
    <row r="349" spans="1:3">
      <c r="A349" s="27" t="s">
        <v>771</v>
      </c>
      <c r="B349" s="4" t="s">
        <v>772</v>
      </c>
      <c r="C349" s="22">
        <v>0.67</v>
      </c>
    </row>
    <row r="350" spans="1:3">
      <c r="A350" s="27" t="s">
        <v>773</v>
      </c>
      <c r="B350" s="4" t="s">
        <v>774</v>
      </c>
      <c r="C350" s="22">
        <v>0.67</v>
      </c>
    </row>
    <row r="351" spans="1:3">
      <c r="A351" s="27" t="s">
        <v>775</v>
      </c>
      <c r="B351" s="4" t="s">
        <v>776</v>
      </c>
      <c r="C351" s="22">
        <v>0.67</v>
      </c>
    </row>
    <row r="352" spans="1:3">
      <c r="A352" s="27" t="s">
        <v>777</v>
      </c>
      <c r="B352" s="4" t="s">
        <v>778</v>
      </c>
      <c r="C352" s="22">
        <v>0.67</v>
      </c>
    </row>
    <row r="353" spans="1:3">
      <c r="A353" s="27" t="s">
        <v>779</v>
      </c>
      <c r="B353" s="4" t="s">
        <v>780</v>
      </c>
      <c r="C353" s="22">
        <v>0.67</v>
      </c>
    </row>
    <row r="354" spans="1:3">
      <c r="A354" s="27" t="s">
        <v>781</v>
      </c>
      <c r="B354" s="4" t="s">
        <v>782</v>
      </c>
      <c r="C354" s="22">
        <v>0.67</v>
      </c>
    </row>
    <row r="355" spans="1:3">
      <c r="A355" s="27" t="s">
        <v>783</v>
      </c>
      <c r="B355" s="4" t="s">
        <v>784</v>
      </c>
      <c r="C355" s="22">
        <v>0.67</v>
      </c>
    </row>
    <row r="356" spans="1:3">
      <c r="A356" s="27" t="s">
        <v>785</v>
      </c>
      <c r="B356" s="4" t="s">
        <v>786</v>
      </c>
      <c r="C356" s="22">
        <v>0.67</v>
      </c>
    </row>
    <row r="357" spans="1:3">
      <c r="A357" s="27" t="s">
        <v>787</v>
      </c>
      <c r="B357" s="4" t="s">
        <v>788</v>
      </c>
      <c r="C357" s="22">
        <v>0.67</v>
      </c>
    </row>
    <row r="358" spans="1:3">
      <c r="A358" s="27" t="s">
        <v>789</v>
      </c>
      <c r="B358" s="4" t="s">
        <v>790</v>
      </c>
      <c r="C358" s="22">
        <v>0.67</v>
      </c>
    </row>
    <row r="359" spans="1:3">
      <c r="A359" s="27" t="s">
        <v>791</v>
      </c>
      <c r="B359" s="4" t="s">
        <v>792</v>
      </c>
      <c r="C359" s="22">
        <v>0.67</v>
      </c>
    </row>
    <row r="360" spans="1:3">
      <c r="A360" s="27" t="s">
        <v>793</v>
      </c>
      <c r="B360" s="4" t="s">
        <v>794</v>
      </c>
      <c r="C360" s="22">
        <v>0.67</v>
      </c>
    </row>
    <row r="361" spans="1:3">
      <c r="A361" s="27" t="s">
        <v>795</v>
      </c>
      <c r="B361" s="4" t="s">
        <v>796</v>
      </c>
      <c r="C361" s="22">
        <v>0.67</v>
      </c>
    </row>
    <row r="362" spans="1:3">
      <c r="A362" s="27" t="s">
        <v>797</v>
      </c>
      <c r="B362" s="4" t="s">
        <v>798</v>
      </c>
      <c r="C362" s="22">
        <v>0.67</v>
      </c>
    </row>
    <row r="363" spans="1:3">
      <c r="A363" s="27" t="s">
        <v>799</v>
      </c>
      <c r="B363" s="4" t="s">
        <v>800</v>
      </c>
      <c r="C363" s="22">
        <v>0.67</v>
      </c>
    </row>
    <row r="364" spans="1:3">
      <c r="A364" s="27" t="s">
        <v>801</v>
      </c>
      <c r="B364" s="4" t="s">
        <v>802</v>
      </c>
      <c r="C364" s="22">
        <v>0.67</v>
      </c>
    </row>
    <row r="365" spans="1:3">
      <c r="A365" s="27" t="s">
        <v>803</v>
      </c>
      <c r="B365" s="4" t="s">
        <v>804</v>
      </c>
      <c r="C365" s="22">
        <v>0.67</v>
      </c>
    </row>
    <row r="366" spans="1:3">
      <c r="A366" s="27" t="s">
        <v>805</v>
      </c>
      <c r="B366" s="4" t="s">
        <v>806</v>
      </c>
      <c r="C366" s="22">
        <v>0.67</v>
      </c>
    </row>
    <row r="367" spans="1:3">
      <c r="A367" s="27" t="s">
        <v>807</v>
      </c>
      <c r="B367" s="4" t="s">
        <v>808</v>
      </c>
      <c r="C367" s="22">
        <v>0.67</v>
      </c>
    </row>
    <row r="368" spans="1:3">
      <c r="A368" s="27" t="s">
        <v>809</v>
      </c>
      <c r="B368" s="4" t="s">
        <v>810</v>
      </c>
      <c r="C368" s="22">
        <v>0.67</v>
      </c>
    </row>
    <row r="369" spans="1:3">
      <c r="A369" s="27" t="s">
        <v>811</v>
      </c>
      <c r="B369" s="4" t="s">
        <v>812</v>
      </c>
      <c r="C369" s="22">
        <v>0.67</v>
      </c>
    </row>
    <row r="370" spans="1:3">
      <c r="A370" s="27" t="s">
        <v>813</v>
      </c>
      <c r="B370" s="4" t="s">
        <v>814</v>
      </c>
      <c r="C370" s="22">
        <v>0.67</v>
      </c>
    </row>
    <row r="371" spans="1:3">
      <c r="A371" s="27" t="s">
        <v>815</v>
      </c>
      <c r="B371" s="4" t="s">
        <v>816</v>
      </c>
      <c r="C371" s="22">
        <v>0.67</v>
      </c>
    </row>
    <row r="372" spans="1:3">
      <c r="A372" s="27" t="s">
        <v>817</v>
      </c>
      <c r="B372" s="4" t="s">
        <v>818</v>
      </c>
      <c r="C372" s="22">
        <v>0.67</v>
      </c>
    </row>
    <row r="373" spans="1:3">
      <c r="A373" s="27" t="s">
        <v>819</v>
      </c>
      <c r="B373" s="4" t="s">
        <v>820</v>
      </c>
      <c r="C373" s="22">
        <v>0.67</v>
      </c>
    </row>
    <row r="374" spans="1:3">
      <c r="A374" s="27" t="s">
        <v>821</v>
      </c>
      <c r="B374" s="4" t="s">
        <v>822</v>
      </c>
      <c r="C374" s="22">
        <v>0.67</v>
      </c>
    </row>
    <row r="375" spans="1:3">
      <c r="A375" s="27" t="s">
        <v>823</v>
      </c>
      <c r="B375" s="4" t="s">
        <v>824</v>
      </c>
      <c r="C375" s="22">
        <v>0.67</v>
      </c>
    </row>
    <row r="376" spans="1:3">
      <c r="A376" s="27" t="s">
        <v>825</v>
      </c>
      <c r="B376" s="4" t="s">
        <v>826</v>
      </c>
      <c r="C376" s="22">
        <v>0.67</v>
      </c>
    </row>
    <row r="377" spans="1:3">
      <c r="A377" s="27" t="s">
        <v>827</v>
      </c>
      <c r="B377" s="4" t="s">
        <v>828</v>
      </c>
      <c r="C377" s="22">
        <v>0.67</v>
      </c>
    </row>
    <row r="378" spans="1:3">
      <c r="A378" s="27" t="s">
        <v>829</v>
      </c>
      <c r="B378" s="4" t="s">
        <v>830</v>
      </c>
      <c r="C378" s="22">
        <v>0.67</v>
      </c>
    </row>
    <row r="379" spans="1:3">
      <c r="A379" s="27" t="s">
        <v>831</v>
      </c>
      <c r="B379" s="4" t="s">
        <v>832</v>
      </c>
      <c r="C379" s="22">
        <v>0.67</v>
      </c>
    </row>
    <row r="380" spans="1:3">
      <c r="A380" s="27" t="s">
        <v>833</v>
      </c>
      <c r="B380" s="4" t="s">
        <v>834</v>
      </c>
      <c r="C380" s="22">
        <v>0.67</v>
      </c>
    </row>
    <row r="381" spans="1:3">
      <c r="A381" s="27" t="s">
        <v>835</v>
      </c>
      <c r="B381" s="4" t="s">
        <v>836</v>
      </c>
      <c r="C381" s="22">
        <v>0.67</v>
      </c>
    </row>
    <row r="382" spans="1:3">
      <c r="A382" s="27" t="s">
        <v>837</v>
      </c>
      <c r="B382" s="4" t="s">
        <v>838</v>
      </c>
      <c r="C382" s="22">
        <v>0.67</v>
      </c>
    </row>
    <row r="383" spans="1:3">
      <c r="A383" s="27" t="s">
        <v>839</v>
      </c>
      <c r="B383" s="4" t="s">
        <v>840</v>
      </c>
      <c r="C383" s="22">
        <v>0.67</v>
      </c>
    </row>
    <row r="384" spans="1:3">
      <c r="A384" s="27" t="s">
        <v>841</v>
      </c>
      <c r="B384" s="4" t="s">
        <v>842</v>
      </c>
      <c r="C384" s="22">
        <v>0.67</v>
      </c>
    </row>
    <row r="385" spans="1:3">
      <c r="A385" s="27" t="s">
        <v>843</v>
      </c>
      <c r="B385" s="4" t="s">
        <v>844</v>
      </c>
      <c r="C385" s="22">
        <v>0.67</v>
      </c>
    </row>
    <row r="386" spans="1:3">
      <c r="A386" s="27" t="s">
        <v>845</v>
      </c>
      <c r="B386" s="4" t="s">
        <v>846</v>
      </c>
      <c r="C386" s="22">
        <v>0.67</v>
      </c>
    </row>
    <row r="387" spans="1:3">
      <c r="A387" s="27" t="s">
        <v>847</v>
      </c>
      <c r="B387" s="4" t="s">
        <v>848</v>
      </c>
      <c r="C387" s="22">
        <v>0.67</v>
      </c>
    </row>
    <row r="388" spans="1:3">
      <c r="A388" s="27" t="s">
        <v>849</v>
      </c>
      <c r="B388" s="4" t="s">
        <v>850</v>
      </c>
      <c r="C388" s="22">
        <v>0.67</v>
      </c>
    </row>
    <row r="389" spans="1:3">
      <c r="A389" s="27" t="s">
        <v>851</v>
      </c>
      <c r="B389" s="4" t="s">
        <v>852</v>
      </c>
      <c r="C389" s="22">
        <v>0.67</v>
      </c>
    </row>
    <row r="390" spans="1:3">
      <c r="A390" s="27" t="s">
        <v>853</v>
      </c>
      <c r="B390" s="4" t="s">
        <v>854</v>
      </c>
      <c r="C390" s="22">
        <v>0.67</v>
      </c>
    </row>
    <row r="391" spans="1:3">
      <c r="A391" s="27" t="s">
        <v>855</v>
      </c>
      <c r="B391" s="4" t="s">
        <v>856</v>
      </c>
      <c r="C391" s="22">
        <v>0.67</v>
      </c>
    </row>
    <row r="392" spans="1:3">
      <c r="A392" s="27" t="s">
        <v>857</v>
      </c>
      <c r="B392" s="4" t="s">
        <v>858</v>
      </c>
      <c r="C392" s="22">
        <v>0.67</v>
      </c>
    </row>
    <row r="393" spans="1:3">
      <c r="A393" s="27" t="s">
        <v>859</v>
      </c>
      <c r="B393" s="4" t="s">
        <v>860</v>
      </c>
      <c r="C393" s="22">
        <v>0.67</v>
      </c>
    </row>
    <row r="394" spans="1:3">
      <c r="A394" s="27" t="s">
        <v>861</v>
      </c>
      <c r="B394" s="4" t="s">
        <v>862</v>
      </c>
      <c r="C394" s="22">
        <v>0.67</v>
      </c>
    </row>
    <row r="395" spans="1:3">
      <c r="A395" s="27" t="s">
        <v>863</v>
      </c>
      <c r="B395" s="4" t="s">
        <v>864</v>
      </c>
      <c r="C395" s="22">
        <v>0.67</v>
      </c>
    </row>
    <row r="396" spans="1:3">
      <c r="A396" s="27" t="s">
        <v>865</v>
      </c>
      <c r="B396" s="4" t="s">
        <v>866</v>
      </c>
      <c r="C396" s="22">
        <v>0.67</v>
      </c>
    </row>
    <row r="397" spans="1:3">
      <c r="A397" s="27" t="s">
        <v>867</v>
      </c>
      <c r="B397" s="4" t="s">
        <v>868</v>
      </c>
      <c r="C397" s="22">
        <v>0.67</v>
      </c>
    </row>
    <row r="398" spans="1:3">
      <c r="A398" s="27" t="s">
        <v>869</v>
      </c>
      <c r="B398" s="4" t="s">
        <v>870</v>
      </c>
      <c r="C398" s="22">
        <v>0.67</v>
      </c>
    </row>
    <row r="399" spans="1:3">
      <c r="A399" s="27" t="s">
        <v>871</v>
      </c>
      <c r="B399" s="4" t="s">
        <v>872</v>
      </c>
      <c r="C399" s="22">
        <v>0.67</v>
      </c>
    </row>
    <row r="400" spans="1:3">
      <c r="A400" s="27" t="s">
        <v>873</v>
      </c>
      <c r="B400" s="4" t="s">
        <v>874</v>
      </c>
      <c r="C400" s="22">
        <v>0.67</v>
      </c>
    </row>
    <row r="401" spans="1:3">
      <c r="A401" s="27" t="s">
        <v>875</v>
      </c>
      <c r="B401" s="4" t="s">
        <v>876</v>
      </c>
      <c r="C401" s="22">
        <v>0.67</v>
      </c>
    </row>
    <row r="402" spans="1:3">
      <c r="A402" s="27" t="s">
        <v>877</v>
      </c>
      <c r="B402" s="4" t="s">
        <v>878</v>
      </c>
      <c r="C402" s="22">
        <v>0.67</v>
      </c>
    </row>
    <row r="403" spans="1:3">
      <c r="A403" s="27" t="s">
        <v>879</v>
      </c>
      <c r="B403" s="4" t="s">
        <v>880</v>
      </c>
      <c r="C403" s="22">
        <v>0.67</v>
      </c>
    </row>
    <row r="404" spans="1:3">
      <c r="A404" s="27" t="s">
        <v>881</v>
      </c>
      <c r="B404" s="4" t="s">
        <v>882</v>
      </c>
      <c r="C404" s="22">
        <v>0.67</v>
      </c>
    </row>
    <row r="405" spans="1:3">
      <c r="A405" s="27" t="s">
        <v>883</v>
      </c>
      <c r="B405" s="4" t="s">
        <v>884</v>
      </c>
      <c r="C405" s="22">
        <v>0.67</v>
      </c>
    </row>
    <row r="406" spans="1:3">
      <c r="A406" s="27" t="s">
        <v>885</v>
      </c>
      <c r="B406" s="4" t="s">
        <v>886</v>
      </c>
      <c r="C406" s="22">
        <v>0.67</v>
      </c>
    </row>
    <row r="407" spans="1:3">
      <c r="A407" s="27" t="s">
        <v>887</v>
      </c>
      <c r="B407" s="4" t="s">
        <v>888</v>
      </c>
      <c r="C407" s="22">
        <v>0.67</v>
      </c>
    </row>
    <row r="408" spans="1:3">
      <c r="A408" s="27" t="s">
        <v>889</v>
      </c>
      <c r="B408" s="4" t="s">
        <v>890</v>
      </c>
      <c r="C408" s="22">
        <v>0.67</v>
      </c>
    </row>
    <row r="409" spans="1:3">
      <c r="A409" s="27" t="s">
        <v>891</v>
      </c>
      <c r="B409" s="4" t="s">
        <v>892</v>
      </c>
      <c r="C409" s="22">
        <v>0.67</v>
      </c>
    </row>
    <row r="410" spans="1:3">
      <c r="A410" s="27" t="s">
        <v>893</v>
      </c>
      <c r="B410" s="4" t="s">
        <v>894</v>
      </c>
      <c r="C410" s="22">
        <v>0.67</v>
      </c>
    </row>
    <row r="411" spans="1:3">
      <c r="A411" s="27" t="s">
        <v>895</v>
      </c>
      <c r="B411" s="4" t="s">
        <v>896</v>
      </c>
      <c r="C411" s="22">
        <v>0.67</v>
      </c>
    </row>
    <row r="412" spans="1:3">
      <c r="A412" s="27" t="s">
        <v>897</v>
      </c>
      <c r="B412" s="4" t="s">
        <v>898</v>
      </c>
      <c r="C412" s="22">
        <v>0.67</v>
      </c>
    </row>
    <row r="413" spans="1:3">
      <c r="A413" s="27" t="s">
        <v>899</v>
      </c>
      <c r="B413" s="4" t="s">
        <v>900</v>
      </c>
      <c r="C413" s="22">
        <v>0.67</v>
      </c>
    </row>
    <row r="414" spans="1:3">
      <c r="A414" s="27" t="s">
        <v>901</v>
      </c>
      <c r="B414" s="4" t="s">
        <v>902</v>
      </c>
      <c r="C414" s="22">
        <v>0.67</v>
      </c>
    </row>
    <row r="415" spans="1:3">
      <c r="A415" s="27" t="s">
        <v>903</v>
      </c>
      <c r="B415" s="4" t="s">
        <v>904</v>
      </c>
      <c r="C415" s="22">
        <v>0.67</v>
      </c>
    </row>
    <row r="416" spans="1:3">
      <c r="A416" s="27" t="s">
        <v>905</v>
      </c>
      <c r="B416" s="4" t="s">
        <v>906</v>
      </c>
      <c r="C416" s="22">
        <v>0.67</v>
      </c>
    </row>
    <row r="417" spans="1:3">
      <c r="A417" s="27" t="s">
        <v>907</v>
      </c>
      <c r="B417" s="4" t="s">
        <v>908</v>
      </c>
      <c r="C417" s="22">
        <v>0.67</v>
      </c>
    </row>
    <row r="418" spans="1:3">
      <c r="A418" s="27" t="s">
        <v>909</v>
      </c>
      <c r="B418" s="4" t="s">
        <v>910</v>
      </c>
      <c r="C418" s="22">
        <v>0.67</v>
      </c>
    </row>
    <row r="419" spans="1:3">
      <c r="A419" s="27" t="s">
        <v>911</v>
      </c>
      <c r="B419" s="4" t="s">
        <v>912</v>
      </c>
      <c r="C419" s="22">
        <v>0.67</v>
      </c>
    </row>
    <row r="420" spans="1:3">
      <c r="A420" s="27" t="s">
        <v>913</v>
      </c>
      <c r="B420" s="4" t="s">
        <v>914</v>
      </c>
      <c r="C420" s="22">
        <v>0.67</v>
      </c>
    </row>
    <row r="421" spans="1:3">
      <c r="A421" s="27" t="s">
        <v>915</v>
      </c>
      <c r="B421" s="4" t="s">
        <v>916</v>
      </c>
      <c r="C421" s="22">
        <v>0.67</v>
      </c>
    </row>
    <row r="422" spans="1:3">
      <c r="A422" s="27" t="s">
        <v>917</v>
      </c>
      <c r="B422" s="4" t="s">
        <v>918</v>
      </c>
      <c r="C422" s="22">
        <v>0.67</v>
      </c>
    </row>
    <row r="423" spans="1:3">
      <c r="A423" s="27" t="s">
        <v>919</v>
      </c>
      <c r="B423" s="4" t="s">
        <v>920</v>
      </c>
      <c r="C423" s="22">
        <v>0.67</v>
      </c>
    </row>
    <row r="424" spans="1:3">
      <c r="A424" s="27" t="s">
        <v>921</v>
      </c>
      <c r="B424" s="4" t="s">
        <v>922</v>
      </c>
      <c r="C424" s="22">
        <v>0.67</v>
      </c>
    </row>
    <row r="425" spans="1:3">
      <c r="A425" s="27" t="s">
        <v>923</v>
      </c>
      <c r="B425" s="4" t="s">
        <v>924</v>
      </c>
      <c r="C425" s="22">
        <v>0.67</v>
      </c>
    </row>
    <row r="426" spans="1:3">
      <c r="A426" s="27" t="s">
        <v>925</v>
      </c>
      <c r="B426" s="4" t="s">
        <v>926</v>
      </c>
      <c r="C426" s="22">
        <v>0.67</v>
      </c>
    </row>
    <row r="427" spans="1:3">
      <c r="A427" s="27" t="s">
        <v>927</v>
      </c>
      <c r="B427" s="4" t="s">
        <v>928</v>
      </c>
      <c r="C427" s="22">
        <v>0.67</v>
      </c>
    </row>
    <row r="428" spans="1:3">
      <c r="A428" s="27" t="s">
        <v>929</v>
      </c>
      <c r="B428" s="4" t="s">
        <v>930</v>
      </c>
      <c r="C428" s="22">
        <v>0.67</v>
      </c>
    </row>
    <row r="429" spans="1:3">
      <c r="A429" s="27" t="s">
        <v>931</v>
      </c>
      <c r="B429" s="4" t="s">
        <v>932</v>
      </c>
      <c r="C429" s="22">
        <v>0.67</v>
      </c>
    </row>
    <row r="430" spans="1:3">
      <c r="A430" s="27" t="s">
        <v>933</v>
      </c>
      <c r="B430" s="4" t="s">
        <v>934</v>
      </c>
      <c r="C430" s="22">
        <v>0.67</v>
      </c>
    </row>
    <row r="431" spans="1:3">
      <c r="A431" s="27" t="s">
        <v>935</v>
      </c>
      <c r="B431" s="4" t="s">
        <v>936</v>
      </c>
      <c r="C431" s="22">
        <v>0.67</v>
      </c>
    </row>
    <row r="432" spans="1:3">
      <c r="A432" s="27" t="s">
        <v>937</v>
      </c>
      <c r="B432" s="4" t="s">
        <v>938</v>
      </c>
      <c r="C432" s="22">
        <v>0.67</v>
      </c>
    </row>
    <row r="433" spans="1:3">
      <c r="A433" s="27" t="s">
        <v>939</v>
      </c>
      <c r="B433" s="4" t="s">
        <v>940</v>
      </c>
      <c r="C433" s="22">
        <v>0.67</v>
      </c>
    </row>
    <row r="434" spans="1:3">
      <c r="A434" s="27" t="s">
        <v>941</v>
      </c>
      <c r="B434" s="4" t="s">
        <v>942</v>
      </c>
      <c r="C434" s="22">
        <v>0.67</v>
      </c>
    </row>
    <row r="435" spans="1:3">
      <c r="A435" s="27" t="s">
        <v>943</v>
      </c>
      <c r="B435" s="4" t="s">
        <v>944</v>
      </c>
      <c r="C435" s="22">
        <v>0.67</v>
      </c>
    </row>
    <row r="436" spans="1:3">
      <c r="A436" s="27" t="s">
        <v>945</v>
      </c>
      <c r="B436" s="4" t="s">
        <v>946</v>
      </c>
      <c r="C436" s="22">
        <v>0.67</v>
      </c>
    </row>
    <row r="437" spans="1:3">
      <c r="A437" s="27" t="s">
        <v>947</v>
      </c>
      <c r="B437" s="4" t="s">
        <v>948</v>
      </c>
      <c r="C437" s="22">
        <v>0.67</v>
      </c>
    </row>
    <row r="438" spans="1:3">
      <c r="A438" s="27" t="s">
        <v>949</v>
      </c>
      <c r="B438" s="4" t="s">
        <v>950</v>
      </c>
      <c r="C438" s="22">
        <v>0.67</v>
      </c>
    </row>
    <row r="439" spans="1:3">
      <c r="A439" s="27" t="s">
        <v>951</v>
      </c>
      <c r="B439" s="4" t="s">
        <v>952</v>
      </c>
      <c r="C439" s="22">
        <v>0.67</v>
      </c>
    </row>
    <row r="440" spans="1:3">
      <c r="A440" s="27" t="s">
        <v>953</v>
      </c>
      <c r="B440" s="4" t="s">
        <v>954</v>
      </c>
      <c r="C440" s="22">
        <v>0.67</v>
      </c>
    </row>
    <row r="441" spans="1:3">
      <c r="A441" s="27" t="s">
        <v>955</v>
      </c>
      <c r="B441" s="4" t="s">
        <v>956</v>
      </c>
      <c r="C441" s="22">
        <v>0.67</v>
      </c>
    </row>
    <row r="442" spans="1:3">
      <c r="A442" s="27" t="s">
        <v>957</v>
      </c>
      <c r="B442" s="4" t="s">
        <v>958</v>
      </c>
      <c r="C442" s="22">
        <v>0.67</v>
      </c>
    </row>
    <row r="443" spans="1:3">
      <c r="A443" s="27" t="s">
        <v>959</v>
      </c>
      <c r="B443" s="4" t="s">
        <v>960</v>
      </c>
      <c r="C443" s="22">
        <v>0.67</v>
      </c>
    </row>
    <row r="444" spans="1:3">
      <c r="A444" s="27" t="s">
        <v>961</v>
      </c>
      <c r="B444" s="4" t="s">
        <v>962</v>
      </c>
      <c r="C444" s="22">
        <v>0.67</v>
      </c>
    </row>
    <row r="445" spans="1:3">
      <c r="A445" s="27" t="s">
        <v>963</v>
      </c>
      <c r="B445" s="4" t="s">
        <v>964</v>
      </c>
      <c r="C445" s="22">
        <v>0.67</v>
      </c>
    </row>
    <row r="446" spans="1:3">
      <c r="A446" s="27" t="s">
        <v>965</v>
      </c>
      <c r="B446" s="4" t="s">
        <v>966</v>
      </c>
      <c r="C446" s="22">
        <v>0.67</v>
      </c>
    </row>
    <row r="447" spans="1:3">
      <c r="A447" s="27" t="s">
        <v>967</v>
      </c>
      <c r="B447" s="4" t="s">
        <v>968</v>
      </c>
      <c r="C447" s="22">
        <v>0.67</v>
      </c>
    </row>
    <row r="448" spans="1:3">
      <c r="A448" s="27" t="s">
        <v>969</v>
      </c>
      <c r="B448" s="4" t="s">
        <v>970</v>
      </c>
      <c r="C448" s="22">
        <v>0.67</v>
      </c>
    </row>
    <row r="449" spans="1:3">
      <c r="A449" s="27" t="s">
        <v>971</v>
      </c>
      <c r="B449" s="4" t="s">
        <v>972</v>
      </c>
      <c r="C449" s="22">
        <v>0.67</v>
      </c>
    </row>
    <row r="450" spans="1:3">
      <c r="A450" s="27" t="s">
        <v>973</v>
      </c>
      <c r="B450" s="4" t="s">
        <v>974</v>
      </c>
      <c r="C450" s="22">
        <v>0.67</v>
      </c>
    </row>
    <row r="451" spans="1:3">
      <c r="A451" s="27" t="s">
        <v>975</v>
      </c>
      <c r="B451" s="4" t="s">
        <v>976</v>
      </c>
      <c r="C451" s="22">
        <v>0.67</v>
      </c>
    </row>
    <row r="452" spans="1:3">
      <c r="A452" s="27" t="s">
        <v>977</v>
      </c>
      <c r="B452" s="4" t="s">
        <v>978</v>
      </c>
      <c r="C452" s="22">
        <v>0.67</v>
      </c>
    </row>
    <row r="453" spans="1:3">
      <c r="A453" s="27" t="s">
        <v>979</v>
      </c>
      <c r="B453" s="4" t="s">
        <v>980</v>
      </c>
      <c r="C453" s="22">
        <v>0.67</v>
      </c>
    </row>
    <row r="454" spans="1:3">
      <c r="A454" s="27" t="s">
        <v>981</v>
      </c>
      <c r="B454" s="4" t="s">
        <v>982</v>
      </c>
      <c r="C454" s="22">
        <v>0.67</v>
      </c>
    </row>
    <row r="455" spans="1:3">
      <c r="A455" s="27" t="s">
        <v>983</v>
      </c>
      <c r="B455" s="4" t="s">
        <v>984</v>
      </c>
      <c r="C455" s="22">
        <v>0.67</v>
      </c>
    </row>
    <row r="456" spans="1:3">
      <c r="A456" s="27" t="s">
        <v>985</v>
      </c>
      <c r="B456" s="4" t="s">
        <v>986</v>
      </c>
      <c r="C456" s="22">
        <v>0.67</v>
      </c>
    </row>
    <row r="457" spans="1:3">
      <c r="A457" s="27" t="s">
        <v>987</v>
      </c>
      <c r="B457" s="4" t="s">
        <v>988</v>
      </c>
      <c r="C457" s="22">
        <v>0.67</v>
      </c>
    </row>
    <row r="458" spans="1:3">
      <c r="A458" s="27" t="s">
        <v>989</v>
      </c>
      <c r="B458" s="4" t="s">
        <v>990</v>
      </c>
      <c r="C458" s="22">
        <v>0.67</v>
      </c>
    </row>
    <row r="459" spans="1:3">
      <c r="A459" s="27" t="s">
        <v>991</v>
      </c>
      <c r="B459" s="4" t="s">
        <v>992</v>
      </c>
      <c r="C459" s="22">
        <v>0.67</v>
      </c>
    </row>
    <row r="460" spans="1:3">
      <c r="A460" s="27" t="s">
        <v>993</v>
      </c>
      <c r="B460" s="4" t="s">
        <v>994</v>
      </c>
      <c r="C460" s="22">
        <v>0.67</v>
      </c>
    </row>
    <row r="461" spans="1:3">
      <c r="A461" s="27" t="s">
        <v>995</v>
      </c>
      <c r="B461" s="4" t="s">
        <v>996</v>
      </c>
      <c r="C461" s="22">
        <v>0.67</v>
      </c>
    </row>
    <row r="462" spans="1:3">
      <c r="A462" s="27" t="s">
        <v>997</v>
      </c>
      <c r="B462" s="4" t="s">
        <v>998</v>
      </c>
      <c r="C462" s="22">
        <v>0.67</v>
      </c>
    </row>
    <row r="463" spans="1:3">
      <c r="A463" s="27" t="s">
        <v>999</v>
      </c>
      <c r="B463" s="4" t="s">
        <v>1000</v>
      </c>
      <c r="C463" s="22">
        <v>0.67</v>
      </c>
    </row>
    <row r="464" spans="1:3">
      <c r="A464" s="27" t="s">
        <v>1001</v>
      </c>
      <c r="B464" s="4" t="s">
        <v>1002</v>
      </c>
      <c r="C464" s="22">
        <v>0.67</v>
      </c>
    </row>
    <row r="465" spans="1:3">
      <c r="A465" s="27" t="s">
        <v>1003</v>
      </c>
      <c r="B465" s="4" t="s">
        <v>1004</v>
      </c>
      <c r="C465" s="22">
        <v>0.67</v>
      </c>
    </row>
    <row r="466" spans="1:3">
      <c r="A466" s="27" t="s">
        <v>1005</v>
      </c>
      <c r="B466" s="4" t="s">
        <v>1006</v>
      </c>
      <c r="C466" s="22">
        <v>0.67</v>
      </c>
    </row>
    <row r="467" spans="1:3">
      <c r="A467" s="27" t="s">
        <v>1007</v>
      </c>
      <c r="B467" s="4" t="s">
        <v>1008</v>
      </c>
      <c r="C467" s="22">
        <v>0.67</v>
      </c>
    </row>
    <row r="468" spans="1:3">
      <c r="A468" s="27" t="s">
        <v>1009</v>
      </c>
      <c r="B468" s="4" t="s">
        <v>1010</v>
      </c>
      <c r="C468" s="22">
        <v>0.67</v>
      </c>
    </row>
    <row r="469" spans="1:3">
      <c r="A469" s="27" t="s">
        <v>1011</v>
      </c>
      <c r="B469" s="4" t="s">
        <v>1012</v>
      </c>
      <c r="C469" s="22">
        <v>0.67</v>
      </c>
    </row>
    <row r="470" spans="1:3">
      <c r="A470" s="27" t="s">
        <v>1013</v>
      </c>
      <c r="B470" s="4" t="s">
        <v>1014</v>
      </c>
      <c r="C470" s="22">
        <v>0.67</v>
      </c>
    </row>
    <row r="471" spans="1:3">
      <c r="A471" s="27" t="s">
        <v>1015</v>
      </c>
      <c r="B471" s="4" t="s">
        <v>1016</v>
      </c>
      <c r="C471" s="22">
        <v>0.67</v>
      </c>
    </row>
    <row r="472" spans="1:3">
      <c r="A472" s="27" t="s">
        <v>1017</v>
      </c>
      <c r="B472" s="4" t="s">
        <v>1018</v>
      </c>
      <c r="C472" s="22">
        <v>0.67</v>
      </c>
    </row>
    <row r="473" spans="1:3">
      <c r="A473" s="27" t="s">
        <v>1019</v>
      </c>
      <c r="B473" s="4" t="s">
        <v>1020</v>
      </c>
      <c r="C473" s="22">
        <v>0.67</v>
      </c>
    </row>
    <row r="474" spans="1:3">
      <c r="A474" s="27" t="s">
        <v>1021</v>
      </c>
      <c r="B474" s="4" t="s">
        <v>1022</v>
      </c>
      <c r="C474" s="22">
        <v>0.67</v>
      </c>
    </row>
    <row r="475" spans="1:3">
      <c r="A475" s="27" t="s">
        <v>1023</v>
      </c>
      <c r="B475" s="4" t="s">
        <v>1024</v>
      </c>
      <c r="C475" s="22">
        <v>0.67</v>
      </c>
    </row>
    <row r="476" spans="1:3">
      <c r="A476" s="27" t="s">
        <v>1025</v>
      </c>
      <c r="B476" s="4" t="s">
        <v>1026</v>
      </c>
      <c r="C476" s="22">
        <v>0.67</v>
      </c>
    </row>
    <row r="477" spans="1:3">
      <c r="A477" s="27" t="s">
        <v>1027</v>
      </c>
      <c r="B477" s="4" t="s">
        <v>1028</v>
      </c>
      <c r="C477" s="22">
        <v>0.67</v>
      </c>
    </row>
    <row r="478" spans="1:3">
      <c r="A478" s="27" t="s">
        <v>1029</v>
      </c>
      <c r="B478" s="4" t="s">
        <v>1030</v>
      </c>
      <c r="C478" s="22">
        <v>0.67</v>
      </c>
    </row>
    <row r="479" spans="1:3">
      <c r="A479" s="27" t="s">
        <v>1031</v>
      </c>
      <c r="B479" s="4" t="s">
        <v>1032</v>
      </c>
      <c r="C479" s="22">
        <v>0.67</v>
      </c>
    </row>
    <row r="480" spans="1:3">
      <c r="A480" s="27" t="s">
        <v>1033</v>
      </c>
      <c r="B480" s="4" t="s">
        <v>1034</v>
      </c>
      <c r="C480" s="22">
        <v>0.67</v>
      </c>
    </row>
    <row r="481" spans="1:3">
      <c r="A481" s="27" t="s">
        <v>1035</v>
      </c>
      <c r="B481" s="4" t="s">
        <v>1036</v>
      </c>
      <c r="C481" s="22">
        <v>0.67</v>
      </c>
    </row>
    <row r="482" spans="1:3">
      <c r="A482" s="27" t="s">
        <v>1037</v>
      </c>
      <c r="B482" s="4" t="s">
        <v>1038</v>
      </c>
      <c r="C482" s="22">
        <v>0.67</v>
      </c>
    </row>
    <row r="483" spans="1:3">
      <c r="A483" s="27" t="s">
        <v>1039</v>
      </c>
      <c r="B483" s="4" t="s">
        <v>1040</v>
      </c>
      <c r="C483" s="22">
        <v>0.67</v>
      </c>
    </row>
    <row r="484" spans="1:3">
      <c r="A484" s="27" t="s">
        <v>1041</v>
      </c>
      <c r="B484" s="4" t="s">
        <v>1042</v>
      </c>
      <c r="C484" s="22">
        <v>0.67</v>
      </c>
    </row>
    <row r="485" spans="1:3">
      <c r="A485" s="27" t="s">
        <v>1043</v>
      </c>
      <c r="B485" s="4" t="s">
        <v>1044</v>
      </c>
      <c r="C485" s="22">
        <v>0.67</v>
      </c>
    </row>
    <row r="486" spans="1:3">
      <c r="A486" s="27" t="s">
        <v>1045</v>
      </c>
      <c r="B486" s="4" t="s">
        <v>1046</v>
      </c>
      <c r="C486" s="22">
        <v>0.67</v>
      </c>
    </row>
    <row r="487" spans="1:3">
      <c r="A487" s="27" t="s">
        <v>1047</v>
      </c>
      <c r="B487" s="4" t="s">
        <v>1048</v>
      </c>
      <c r="C487" s="22">
        <v>0.67</v>
      </c>
    </row>
    <row r="488" spans="1:3">
      <c r="A488" s="27" t="s">
        <v>1049</v>
      </c>
      <c r="B488" s="4" t="s">
        <v>1050</v>
      </c>
      <c r="C488" s="22">
        <v>0.67</v>
      </c>
    </row>
    <row r="489" spans="1:3">
      <c r="A489" s="27" t="s">
        <v>1051</v>
      </c>
      <c r="B489" s="4" t="s">
        <v>1052</v>
      </c>
      <c r="C489" s="22">
        <v>0.67</v>
      </c>
    </row>
    <row r="490" spans="1:3">
      <c r="A490" s="27" t="s">
        <v>1053</v>
      </c>
      <c r="B490" s="4" t="s">
        <v>1054</v>
      </c>
      <c r="C490" s="22">
        <v>0.67</v>
      </c>
    </row>
    <row r="491" spans="1:3">
      <c r="A491" s="27" t="s">
        <v>1055</v>
      </c>
      <c r="B491" s="4" t="s">
        <v>1056</v>
      </c>
      <c r="C491" s="22">
        <v>0.67</v>
      </c>
    </row>
    <row r="492" spans="1:3">
      <c r="A492" s="27" t="s">
        <v>1057</v>
      </c>
      <c r="B492" s="4" t="s">
        <v>1058</v>
      </c>
      <c r="C492" s="22">
        <v>0.67</v>
      </c>
    </row>
    <row r="493" spans="1:3">
      <c r="A493" s="27" t="s">
        <v>1059</v>
      </c>
      <c r="B493" s="4" t="s">
        <v>1060</v>
      </c>
      <c r="C493" s="22">
        <v>0.67</v>
      </c>
    </row>
    <row r="494" spans="1:3">
      <c r="A494" s="27" t="s">
        <v>1061</v>
      </c>
      <c r="B494" s="4" t="s">
        <v>1062</v>
      </c>
      <c r="C494" s="22">
        <v>0.67</v>
      </c>
    </row>
    <row r="495" spans="1:3">
      <c r="A495" s="27" t="s">
        <v>1063</v>
      </c>
      <c r="B495" s="4" t="s">
        <v>1064</v>
      </c>
      <c r="C495" s="22">
        <v>0.67</v>
      </c>
    </row>
    <row r="496" spans="1:3">
      <c r="A496" s="27" t="s">
        <v>1065</v>
      </c>
      <c r="B496" s="4" t="s">
        <v>1066</v>
      </c>
      <c r="C496" s="22">
        <v>0.67</v>
      </c>
    </row>
    <row r="497" spans="1:3">
      <c r="A497" s="27" t="s">
        <v>1067</v>
      </c>
      <c r="B497" s="4" t="s">
        <v>1068</v>
      </c>
      <c r="C497" s="22">
        <v>0.67</v>
      </c>
    </row>
    <row r="498" spans="1:3">
      <c r="A498" s="27" t="s">
        <v>1069</v>
      </c>
      <c r="B498" s="4" t="s">
        <v>1070</v>
      </c>
      <c r="C498" s="22">
        <v>0.67</v>
      </c>
    </row>
    <row r="499" spans="1:3">
      <c r="A499" s="27" t="s">
        <v>1071</v>
      </c>
      <c r="B499" s="4" t="s">
        <v>1072</v>
      </c>
      <c r="C499" s="22">
        <v>0.67</v>
      </c>
    </row>
    <row r="500" spans="1:3">
      <c r="A500" s="27" t="s">
        <v>1073</v>
      </c>
      <c r="B500" s="4" t="s">
        <v>1074</v>
      </c>
      <c r="C500" s="22">
        <v>0.67</v>
      </c>
    </row>
    <row r="501" spans="1:3">
      <c r="A501" s="27" t="s">
        <v>1075</v>
      </c>
      <c r="B501" s="4" t="s">
        <v>1076</v>
      </c>
      <c r="C501" s="22">
        <v>0.67</v>
      </c>
    </row>
    <row r="502" spans="1:3">
      <c r="A502" s="27" t="s">
        <v>1077</v>
      </c>
      <c r="B502" s="4" t="s">
        <v>1078</v>
      </c>
      <c r="C502" s="22">
        <v>0.67</v>
      </c>
    </row>
    <row r="503" spans="1:3">
      <c r="A503" s="27" t="s">
        <v>1079</v>
      </c>
      <c r="B503" s="4" t="s">
        <v>1080</v>
      </c>
      <c r="C503" s="22">
        <v>0.67</v>
      </c>
    </row>
    <row r="504" spans="1:3">
      <c r="A504" s="27" t="s">
        <v>1081</v>
      </c>
      <c r="B504" s="4" t="s">
        <v>1082</v>
      </c>
      <c r="C504" s="22">
        <v>0.67</v>
      </c>
    </row>
    <row r="505" spans="1:3">
      <c r="A505" s="27" t="s">
        <v>1083</v>
      </c>
      <c r="B505" s="4" t="s">
        <v>1084</v>
      </c>
      <c r="C505" s="22">
        <v>0.67</v>
      </c>
    </row>
    <row r="506" spans="1:3">
      <c r="A506" s="27" t="s">
        <v>1085</v>
      </c>
      <c r="B506" s="4" t="s">
        <v>1086</v>
      </c>
      <c r="C506" s="22">
        <v>0.67</v>
      </c>
    </row>
    <row r="507" spans="1:3">
      <c r="A507" s="27" t="s">
        <v>1087</v>
      </c>
      <c r="B507" s="4" t="s">
        <v>1088</v>
      </c>
      <c r="C507" s="22">
        <v>0.67</v>
      </c>
    </row>
    <row r="508" spans="1:3">
      <c r="A508" s="27" t="s">
        <v>1089</v>
      </c>
      <c r="B508" s="4" t="s">
        <v>1090</v>
      </c>
      <c r="C508" s="22">
        <v>0.67</v>
      </c>
    </row>
    <row r="509" spans="1:3">
      <c r="A509" s="27" t="s">
        <v>1091</v>
      </c>
      <c r="B509" s="4" t="s">
        <v>1092</v>
      </c>
      <c r="C509" s="22">
        <v>0.67</v>
      </c>
    </row>
    <row r="510" spans="1:3">
      <c r="A510" s="27" t="s">
        <v>1093</v>
      </c>
      <c r="B510" s="4" t="s">
        <v>1094</v>
      </c>
      <c r="C510" s="22">
        <v>0.67</v>
      </c>
    </row>
    <row r="511" spans="1:3">
      <c r="A511" s="27" t="s">
        <v>1095</v>
      </c>
      <c r="B511" s="4" t="s">
        <v>1096</v>
      </c>
      <c r="C511" s="22">
        <v>0.67</v>
      </c>
    </row>
    <row r="512" spans="1:3">
      <c r="A512" s="27" t="s">
        <v>1097</v>
      </c>
      <c r="B512" s="4" t="s">
        <v>1098</v>
      </c>
      <c r="C512" s="22">
        <v>0.67</v>
      </c>
    </row>
    <row r="513" spans="1:3">
      <c r="A513" s="27" t="s">
        <v>1099</v>
      </c>
      <c r="B513" s="4" t="s">
        <v>1070</v>
      </c>
      <c r="C513" s="22">
        <v>0.86</v>
      </c>
    </row>
    <row r="514" spans="1:3">
      <c r="A514" s="27" t="s">
        <v>1100</v>
      </c>
      <c r="B514" s="4" t="s">
        <v>1070</v>
      </c>
      <c r="C514" s="22">
        <v>0.86</v>
      </c>
    </row>
    <row r="515" spans="1:3">
      <c r="A515" s="27" t="s">
        <v>1101</v>
      </c>
      <c r="B515" s="4" t="s">
        <v>1102</v>
      </c>
      <c r="C515" s="22">
        <v>0.86</v>
      </c>
    </row>
    <row r="516" spans="1:3">
      <c r="A516" s="27" t="s">
        <v>1103</v>
      </c>
      <c r="B516" s="4" t="s">
        <v>1104</v>
      </c>
      <c r="C516" s="22">
        <v>0.86</v>
      </c>
    </row>
    <row r="517" spans="1:3">
      <c r="A517" s="27" t="s">
        <v>1105</v>
      </c>
      <c r="B517" s="4" t="s">
        <v>1106</v>
      </c>
      <c r="C517" s="22">
        <v>0.86</v>
      </c>
    </row>
    <row r="518" spans="1:3">
      <c r="A518" s="27" t="s">
        <v>1107</v>
      </c>
      <c r="B518" s="4" t="s">
        <v>1108</v>
      </c>
      <c r="C518" s="22">
        <v>0.86</v>
      </c>
    </row>
    <row r="519" spans="1:3">
      <c r="A519" s="27" t="s">
        <v>1109</v>
      </c>
      <c r="B519" s="4" t="s">
        <v>1110</v>
      </c>
      <c r="C519" s="22">
        <v>0.86</v>
      </c>
    </row>
    <row r="520" spans="1:3">
      <c r="A520" s="27" t="s">
        <v>1111</v>
      </c>
      <c r="B520" s="4" t="s">
        <v>1112</v>
      </c>
      <c r="C520" s="22">
        <v>0.86</v>
      </c>
    </row>
    <row r="521" spans="1:3">
      <c r="A521" s="27" t="s">
        <v>1113</v>
      </c>
      <c r="B521" s="4" t="s">
        <v>1114</v>
      </c>
      <c r="C521" s="22">
        <v>0.86</v>
      </c>
    </row>
    <row r="522" spans="1:3">
      <c r="A522" s="27" t="s">
        <v>1115</v>
      </c>
      <c r="B522" s="4" t="s">
        <v>1116</v>
      </c>
      <c r="C522" s="22">
        <v>0.86</v>
      </c>
    </row>
    <row r="523" spans="1:3">
      <c r="A523" s="27" t="s">
        <v>1117</v>
      </c>
      <c r="B523" s="4" t="s">
        <v>1118</v>
      </c>
      <c r="C523" s="22">
        <v>0.86</v>
      </c>
    </row>
    <row r="524" spans="1:3">
      <c r="A524" s="27" t="s">
        <v>1119</v>
      </c>
      <c r="B524" s="4" t="s">
        <v>1120</v>
      </c>
      <c r="C524" s="22">
        <v>0.86</v>
      </c>
    </row>
    <row r="525" spans="1:3">
      <c r="A525" s="27" t="s">
        <v>1121</v>
      </c>
      <c r="B525" s="4" t="s">
        <v>1122</v>
      </c>
      <c r="C525" s="22">
        <v>0.86</v>
      </c>
    </row>
    <row r="526" spans="1:3">
      <c r="A526" s="27" t="s">
        <v>1123</v>
      </c>
      <c r="B526" s="4" t="s">
        <v>1124</v>
      </c>
      <c r="C526" s="22">
        <v>0.86</v>
      </c>
    </row>
    <row r="527" spans="1:3">
      <c r="A527" s="27" t="s">
        <v>1125</v>
      </c>
      <c r="B527" s="4" t="s">
        <v>1126</v>
      </c>
      <c r="C527" s="22">
        <v>0.86</v>
      </c>
    </row>
    <row r="528" spans="1:3">
      <c r="A528" s="27" t="s">
        <v>1127</v>
      </c>
      <c r="B528" s="4" t="s">
        <v>1128</v>
      </c>
      <c r="C528" s="22">
        <v>0.86</v>
      </c>
    </row>
    <row r="529" spans="1:3">
      <c r="A529" s="27" t="s">
        <v>1129</v>
      </c>
      <c r="B529" s="4" t="s">
        <v>1130</v>
      </c>
      <c r="C529" s="22">
        <v>0.86</v>
      </c>
    </row>
    <row r="530" spans="1:3">
      <c r="A530" s="27" t="s">
        <v>1131</v>
      </c>
      <c r="B530" s="4" t="s">
        <v>1132</v>
      </c>
      <c r="C530" s="22">
        <v>0.86</v>
      </c>
    </row>
    <row r="531" spans="1:3">
      <c r="A531" s="27" t="s">
        <v>1133</v>
      </c>
      <c r="B531" s="4" t="s">
        <v>1134</v>
      </c>
      <c r="C531" s="22">
        <v>0.86</v>
      </c>
    </row>
    <row r="532" spans="1:3">
      <c r="A532" s="27" t="s">
        <v>1135</v>
      </c>
      <c r="B532" s="4" t="s">
        <v>1136</v>
      </c>
      <c r="C532" s="22">
        <v>0.86</v>
      </c>
    </row>
    <row r="533" spans="1:3">
      <c r="A533" s="27" t="s">
        <v>1137</v>
      </c>
      <c r="B533" s="4" t="s">
        <v>1138</v>
      </c>
      <c r="C533" s="22">
        <v>0.86</v>
      </c>
    </row>
    <row r="534" spans="1:3">
      <c r="A534" s="27" t="s">
        <v>1139</v>
      </c>
      <c r="B534" s="4" t="s">
        <v>1140</v>
      </c>
      <c r="C534" s="22">
        <v>0.86</v>
      </c>
    </row>
    <row r="535" spans="1:3">
      <c r="A535" s="27" t="s">
        <v>1141</v>
      </c>
      <c r="B535" s="4" t="s">
        <v>1142</v>
      </c>
      <c r="C535" s="22">
        <v>0.86</v>
      </c>
    </row>
    <row r="536" spans="1:3">
      <c r="A536" s="27" t="s">
        <v>1143</v>
      </c>
      <c r="B536" s="4" t="s">
        <v>1144</v>
      </c>
      <c r="C536" s="22">
        <v>0.86</v>
      </c>
    </row>
    <row r="537" spans="1:3">
      <c r="A537" s="27" t="s">
        <v>1145</v>
      </c>
      <c r="B537" s="4" t="s">
        <v>1146</v>
      </c>
      <c r="C537" s="22">
        <v>0.86</v>
      </c>
    </row>
    <row r="538" spans="1:3">
      <c r="A538" s="27" t="s">
        <v>1147</v>
      </c>
      <c r="B538" s="4" t="s">
        <v>1148</v>
      </c>
      <c r="C538" s="22">
        <v>0.86</v>
      </c>
    </row>
    <row r="539" spans="1:3">
      <c r="A539" s="27" t="s">
        <v>1149</v>
      </c>
      <c r="B539" s="4" t="s">
        <v>1150</v>
      </c>
      <c r="C539" s="22">
        <v>0.86</v>
      </c>
    </row>
    <row r="540" spans="1:3">
      <c r="A540" s="27" t="s">
        <v>1151</v>
      </c>
      <c r="B540" s="4" t="s">
        <v>1152</v>
      </c>
      <c r="C540" s="22">
        <v>0.86</v>
      </c>
    </row>
    <row r="541" spans="1:3">
      <c r="A541" s="27" t="s">
        <v>1153</v>
      </c>
      <c r="B541" s="4" t="s">
        <v>1154</v>
      </c>
      <c r="C541" s="22">
        <v>0.86</v>
      </c>
    </row>
    <row r="542" spans="1:3">
      <c r="A542" s="27" t="s">
        <v>1155</v>
      </c>
      <c r="B542" s="4" t="s">
        <v>1156</v>
      </c>
      <c r="C542" s="22">
        <v>0.86</v>
      </c>
    </row>
    <row r="543" spans="1:3">
      <c r="A543" s="27" t="s">
        <v>1157</v>
      </c>
      <c r="B543" s="4" t="s">
        <v>1158</v>
      </c>
      <c r="C543" s="22">
        <v>0.86</v>
      </c>
    </row>
    <row r="544" spans="1:3">
      <c r="A544" s="27" t="s">
        <v>1159</v>
      </c>
      <c r="B544" s="4" t="s">
        <v>1160</v>
      </c>
      <c r="C544" s="22">
        <v>0.86</v>
      </c>
    </row>
    <row r="545" spans="1:3">
      <c r="A545" s="27" t="s">
        <v>1161</v>
      </c>
      <c r="B545" s="4" t="s">
        <v>1162</v>
      </c>
      <c r="C545" s="22">
        <v>0.86</v>
      </c>
    </row>
    <row r="546" spans="1:3">
      <c r="A546" s="27" t="s">
        <v>1163</v>
      </c>
      <c r="B546" s="4" t="s">
        <v>1164</v>
      </c>
      <c r="C546" s="22">
        <v>0.86</v>
      </c>
    </row>
    <row r="547" spans="1:3">
      <c r="A547" s="27" t="s">
        <v>1165</v>
      </c>
      <c r="B547" s="4" t="s">
        <v>1166</v>
      </c>
      <c r="C547" s="22">
        <v>0.86</v>
      </c>
    </row>
    <row r="548" spans="1:3">
      <c r="A548" s="27" t="s">
        <v>1167</v>
      </c>
      <c r="B548" s="4" t="s">
        <v>1168</v>
      </c>
      <c r="C548" s="22">
        <v>0.86</v>
      </c>
    </row>
    <row r="549" spans="1:3">
      <c r="A549" s="27" t="s">
        <v>1169</v>
      </c>
      <c r="B549" s="4" t="s">
        <v>1170</v>
      </c>
      <c r="C549" s="22">
        <v>0.4</v>
      </c>
    </row>
    <row r="550" spans="1:3">
      <c r="A550" s="27" t="s">
        <v>1171</v>
      </c>
      <c r="B550" s="4" t="s">
        <v>1172</v>
      </c>
      <c r="C550" s="22">
        <v>0.4</v>
      </c>
    </row>
    <row r="551" spans="1:3">
      <c r="A551" s="27" t="s">
        <v>1173</v>
      </c>
      <c r="B551" s="4" t="s">
        <v>1174</v>
      </c>
      <c r="C551" s="22">
        <v>0.4</v>
      </c>
    </row>
    <row r="552" spans="1:3">
      <c r="A552" s="27" t="s">
        <v>1175</v>
      </c>
      <c r="B552" s="4" t="s">
        <v>1176</v>
      </c>
      <c r="C552" s="22">
        <v>0.4</v>
      </c>
    </row>
    <row r="553" spans="1:3">
      <c r="A553" s="27" t="s">
        <v>1177</v>
      </c>
      <c r="B553" s="4" t="s">
        <v>1178</v>
      </c>
      <c r="C553" s="22">
        <v>0.4</v>
      </c>
    </row>
    <row r="554" spans="1:3">
      <c r="A554" s="27" t="s">
        <v>1179</v>
      </c>
      <c r="B554" s="4" t="s">
        <v>1180</v>
      </c>
      <c r="C554" s="22">
        <v>0.4</v>
      </c>
    </row>
    <row r="555" spans="1:3">
      <c r="A555" s="27" t="s">
        <v>1181</v>
      </c>
      <c r="B555" s="4" t="s">
        <v>1182</v>
      </c>
      <c r="C555" s="22">
        <v>0.4</v>
      </c>
    </row>
    <row r="556" spans="1:3">
      <c r="A556" s="27" t="s">
        <v>1183</v>
      </c>
      <c r="B556" s="4" t="s">
        <v>1184</v>
      </c>
      <c r="C556" s="22">
        <v>0.4</v>
      </c>
    </row>
    <row r="557" spans="1:3">
      <c r="A557" s="27" t="s">
        <v>1185</v>
      </c>
      <c r="B557" s="4" t="s">
        <v>1186</v>
      </c>
      <c r="C557" s="22">
        <v>0.4</v>
      </c>
    </row>
    <row r="558" spans="1:3">
      <c r="A558" s="27" t="s">
        <v>1187</v>
      </c>
      <c r="B558" s="4" t="s">
        <v>1188</v>
      </c>
      <c r="C558" s="22">
        <v>0.4</v>
      </c>
    </row>
    <row r="559" spans="1:3">
      <c r="A559" s="27" t="s">
        <v>1189</v>
      </c>
      <c r="B559" s="4" t="s">
        <v>1190</v>
      </c>
      <c r="C559" s="22">
        <v>0.4</v>
      </c>
    </row>
    <row r="560" spans="1:3">
      <c r="A560" s="27" t="s">
        <v>1191</v>
      </c>
      <c r="B560" s="4" t="s">
        <v>1192</v>
      </c>
      <c r="C560" s="22">
        <v>0.4</v>
      </c>
    </row>
    <row r="561" spans="1:3">
      <c r="A561" s="27" t="s">
        <v>1193</v>
      </c>
      <c r="B561" s="4" t="s">
        <v>1194</v>
      </c>
      <c r="C561" s="22">
        <v>0.4</v>
      </c>
    </row>
    <row r="562" spans="1:3">
      <c r="A562" s="27" t="s">
        <v>1195</v>
      </c>
      <c r="B562" s="4" t="s">
        <v>1196</v>
      </c>
      <c r="C562" s="22">
        <v>0.4</v>
      </c>
    </row>
    <row r="563" spans="1:3">
      <c r="A563" s="27" t="s">
        <v>1197</v>
      </c>
      <c r="B563" s="4" t="s">
        <v>1198</v>
      </c>
      <c r="C563" s="22">
        <v>0.4</v>
      </c>
    </row>
    <row r="564" spans="1:3">
      <c r="A564" s="27" t="s">
        <v>1199</v>
      </c>
      <c r="B564" s="4" t="s">
        <v>1200</v>
      </c>
      <c r="C564" s="22">
        <v>0.4</v>
      </c>
    </row>
    <row r="565" spans="1:3">
      <c r="A565" s="27" t="s">
        <v>1201</v>
      </c>
      <c r="B565" s="4" t="s">
        <v>1202</v>
      </c>
      <c r="C565" s="22">
        <v>0.4</v>
      </c>
    </row>
    <row r="566" spans="1:3">
      <c r="A566" s="27" t="s">
        <v>1203</v>
      </c>
      <c r="B566" s="4" t="s">
        <v>1204</v>
      </c>
      <c r="C566" s="22">
        <v>0.4</v>
      </c>
    </row>
    <row r="567" spans="1:3">
      <c r="A567" s="27" t="s">
        <v>1205</v>
      </c>
      <c r="B567" s="4" t="s">
        <v>1206</v>
      </c>
      <c r="C567" s="22">
        <v>0.62</v>
      </c>
    </row>
    <row r="568" spans="1:3">
      <c r="A568" s="27" t="s">
        <v>1207</v>
      </c>
      <c r="B568" s="4" t="s">
        <v>1208</v>
      </c>
      <c r="C568" s="22">
        <v>0.62</v>
      </c>
    </row>
    <row r="569" spans="1:3">
      <c r="A569" s="27" t="s">
        <v>1209</v>
      </c>
      <c r="B569" s="4" t="s">
        <v>1210</v>
      </c>
      <c r="C569" s="22">
        <v>0.62</v>
      </c>
    </row>
    <row r="570" spans="1:3">
      <c r="A570" s="27" t="s">
        <v>1211</v>
      </c>
      <c r="B570" s="4" t="s">
        <v>1212</v>
      </c>
      <c r="C570" s="22">
        <v>0.62</v>
      </c>
    </row>
    <row r="571" spans="1:3">
      <c r="A571" s="27" t="s">
        <v>1213</v>
      </c>
      <c r="B571" s="4" t="s">
        <v>1214</v>
      </c>
      <c r="C571" s="22">
        <v>0.62</v>
      </c>
    </row>
    <row r="572" spans="1:3">
      <c r="A572" s="27" t="s">
        <v>1215</v>
      </c>
      <c r="B572" s="4" t="s">
        <v>1216</v>
      </c>
      <c r="C572" s="22">
        <v>0.62</v>
      </c>
    </row>
    <row r="573" spans="1:3">
      <c r="A573" s="27" t="s">
        <v>1217</v>
      </c>
      <c r="B573" s="4" t="s">
        <v>1218</v>
      </c>
      <c r="C573" s="22">
        <v>0.62</v>
      </c>
    </row>
    <row r="574" spans="1:3">
      <c r="A574" s="27" t="s">
        <v>1219</v>
      </c>
      <c r="B574" s="4" t="s">
        <v>1220</v>
      </c>
      <c r="C574" s="22">
        <v>0.62</v>
      </c>
    </row>
    <row r="575" spans="1:3">
      <c r="A575" s="27" t="s">
        <v>1221</v>
      </c>
      <c r="B575" s="4" t="s">
        <v>1222</v>
      </c>
      <c r="C575" s="22">
        <v>0.62</v>
      </c>
    </row>
    <row r="576" spans="1:3">
      <c r="A576" s="27" t="s">
        <v>1223</v>
      </c>
      <c r="B576" s="4" t="s">
        <v>1224</v>
      </c>
      <c r="C576" s="22">
        <v>0.62</v>
      </c>
    </row>
    <row r="577" spans="1:3">
      <c r="A577" s="27" t="s">
        <v>1225</v>
      </c>
      <c r="B577" s="4" t="s">
        <v>1226</v>
      </c>
      <c r="C577" s="22">
        <v>0.62</v>
      </c>
    </row>
    <row r="578" spans="1:3">
      <c r="A578" s="27" t="s">
        <v>1227</v>
      </c>
      <c r="B578" s="4" t="s">
        <v>1228</v>
      </c>
      <c r="C578" s="22">
        <v>0.62</v>
      </c>
    </row>
    <row r="579" spans="1:3">
      <c r="A579" s="27" t="s">
        <v>1229</v>
      </c>
      <c r="B579" s="4" t="s">
        <v>1230</v>
      </c>
      <c r="C579" s="22">
        <v>0.62</v>
      </c>
    </row>
    <row r="580" spans="1:3">
      <c r="A580" s="27" t="s">
        <v>1231</v>
      </c>
      <c r="B580" s="4" t="s">
        <v>1232</v>
      </c>
      <c r="C580" s="22">
        <v>0.62</v>
      </c>
    </row>
    <row r="581" spans="1:3">
      <c r="A581" s="27" t="s">
        <v>1233</v>
      </c>
      <c r="B581" s="4" t="s">
        <v>1234</v>
      </c>
      <c r="C581" s="22">
        <v>0.62</v>
      </c>
    </row>
    <row r="582" spans="1:3">
      <c r="A582" s="27" t="s">
        <v>1235</v>
      </c>
      <c r="B582" s="4" t="s">
        <v>1236</v>
      </c>
      <c r="C582" s="22">
        <v>0.62</v>
      </c>
    </row>
    <row r="583" spans="1:3">
      <c r="A583" s="27" t="s">
        <v>1237</v>
      </c>
      <c r="B583" s="4" t="s">
        <v>1238</v>
      </c>
      <c r="C583" s="22">
        <v>0.62</v>
      </c>
    </row>
    <row r="584" spans="1:3">
      <c r="A584" s="27" t="s">
        <v>1239</v>
      </c>
      <c r="B584" s="4" t="s">
        <v>1240</v>
      </c>
      <c r="C584" s="22">
        <v>0.62</v>
      </c>
    </row>
    <row r="585" spans="1:3">
      <c r="A585" s="27" t="s">
        <v>1241</v>
      </c>
      <c r="B585" s="4" t="s">
        <v>1242</v>
      </c>
      <c r="C585" s="22">
        <v>0.62</v>
      </c>
    </row>
    <row r="586" spans="1:3">
      <c r="A586" s="27" t="s">
        <v>1243</v>
      </c>
      <c r="B586" s="4" t="s">
        <v>1244</v>
      </c>
      <c r="C586" s="22">
        <v>0.62</v>
      </c>
    </row>
    <row r="587" spans="1:3">
      <c r="A587" s="27" t="s">
        <v>1245</v>
      </c>
      <c r="B587" s="4" t="s">
        <v>1246</v>
      </c>
      <c r="C587" s="22">
        <v>0.62</v>
      </c>
    </row>
    <row r="588" spans="1:3">
      <c r="A588" s="27" t="s">
        <v>1247</v>
      </c>
      <c r="B588" s="4" t="s">
        <v>1248</v>
      </c>
      <c r="C588" s="22">
        <v>0.62</v>
      </c>
    </row>
    <row r="589" spans="1:3">
      <c r="A589" s="27" t="s">
        <v>1249</v>
      </c>
      <c r="B589" s="4" t="s">
        <v>1250</v>
      </c>
      <c r="C589" s="22">
        <v>0.62</v>
      </c>
    </row>
    <row r="590" spans="1:3">
      <c r="A590" s="27" t="s">
        <v>1251</v>
      </c>
      <c r="B590" s="4" t="s">
        <v>1252</v>
      </c>
      <c r="C590" s="22">
        <v>0.62</v>
      </c>
    </row>
    <row r="591" spans="1:3">
      <c r="A591" s="27" t="s">
        <v>1253</v>
      </c>
      <c r="B591" s="4" t="s">
        <v>1254</v>
      </c>
      <c r="C591" s="22">
        <v>0.62</v>
      </c>
    </row>
    <row r="592" spans="1:3">
      <c r="A592" s="27" t="s">
        <v>1255</v>
      </c>
      <c r="B592" s="4" t="s">
        <v>1256</v>
      </c>
      <c r="C592" s="22">
        <v>0.62</v>
      </c>
    </row>
    <row r="593" spans="1:3">
      <c r="A593" s="27" t="s">
        <v>1257</v>
      </c>
      <c r="B593" s="4" t="s">
        <v>1258</v>
      </c>
      <c r="C593" s="22">
        <v>0.62</v>
      </c>
    </row>
    <row r="594" spans="1:3">
      <c r="A594" s="27" t="s">
        <v>1259</v>
      </c>
      <c r="B594" s="4" t="s">
        <v>1260</v>
      </c>
      <c r="C594" s="22">
        <v>0.62</v>
      </c>
    </row>
    <row r="595" spans="1:3">
      <c r="A595" s="27" t="s">
        <v>1261</v>
      </c>
      <c r="B595" s="4" t="s">
        <v>1262</v>
      </c>
      <c r="C595" s="22">
        <v>0.62</v>
      </c>
    </row>
    <row r="596" spans="1:3">
      <c r="A596" s="27" t="s">
        <v>1263</v>
      </c>
      <c r="B596" s="4" t="s">
        <v>1264</v>
      </c>
      <c r="C596" s="22">
        <v>0.62</v>
      </c>
    </row>
    <row r="597" spans="1:3">
      <c r="A597" s="27" t="s">
        <v>1265</v>
      </c>
      <c r="B597" s="4" t="s">
        <v>1266</v>
      </c>
      <c r="C597" s="22">
        <v>0.62</v>
      </c>
    </row>
    <row r="598" spans="1:3">
      <c r="A598" s="27" t="s">
        <v>1267</v>
      </c>
      <c r="B598" s="4" t="s">
        <v>1268</v>
      </c>
      <c r="C598" s="22">
        <v>0.62</v>
      </c>
    </row>
    <row r="599" spans="1:3">
      <c r="A599" s="27" t="s">
        <v>1269</v>
      </c>
      <c r="B599" s="4" t="s">
        <v>1270</v>
      </c>
      <c r="C599" s="22">
        <v>0.62</v>
      </c>
    </row>
    <row r="600" spans="1:3">
      <c r="A600" s="27" t="s">
        <v>1271</v>
      </c>
      <c r="B600" s="4" t="s">
        <v>1272</v>
      </c>
      <c r="C600" s="22">
        <v>0.62</v>
      </c>
    </row>
    <row r="601" spans="1:3">
      <c r="A601" s="27" t="s">
        <v>1273</v>
      </c>
      <c r="B601" s="4" t="s">
        <v>1274</v>
      </c>
      <c r="C601" s="22">
        <v>0.62</v>
      </c>
    </row>
    <row r="602" spans="1:3">
      <c r="A602" s="27" t="s">
        <v>1275</v>
      </c>
      <c r="B602" s="4" t="s">
        <v>1276</v>
      </c>
      <c r="C602" s="22">
        <v>0.62</v>
      </c>
    </row>
    <row r="603" spans="1:3">
      <c r="A603" s="27" t="s">
        <v>1277</v>
      </c>
      <c r="B603" s="4" t="s">
        <v>1278</v>
      </c>
      <c r="C603" s="22">
        <v>0.62</v>
      </c>
    </row>
    <row r="604" spans="1:3">
      <c r="A604" s="27" t="s">
        <v>1279</v>
      </c>
      <c r="B604" s="4" t="s">
        <v>1280</v>
      </c>
      <c r="C604" s="22">
        <v>0.62</v>
      </c>
    </row>
    <row r="605" spans="1:3">
      <c r="A605" s="27" t="s">
        <v>1281</v>
      </c>
      <c r="B605" s="4" t="s">
        <v>1282</v>
      </c>
      <c r="C605" s="22">
        <v>0.62</v>
      </c>
    </row>
    <row r="606" spans="1:3">
      <c r="A606" s="27" t="s">
        <v>1283</v>
      </c>
      <c r="B606" s="4" t="s">
        <v>1284</v>
      </c>
      <c r="C606" s="22">
        <v>0.62</v>
      </c>
    </row>
    <row r="607" spans="1:3">
      <c r="A607" s="27" t="s">
        <v>1285</v>
      </c>
      <c r="B607" s="4" t="s">
        <v>1286</v>
      </c>
      <c r="C607" s="22">
        <v>0.62</v>
      </c>
    </row>
    <row r="608" spans="1:3">
      <c r="A608" s="27" t="s">
        <v>1287</v>
      </c>
      <c r="B608" s="4" t="s">
        <v>1288</v>
      </c>
      <c r="C608" s="22">
        <v>0.62</v>
      </c>
    </row>
    <row r="609" spans="1:3">
      <c r="A609" s="27" t="s">
        <v>1289</v>
      </c>
      <c r="B609" s="4" t="s">
        <v>1290</v>
      </c>
      <c r="C609" s="22">
        <v>0.62</v>
      </c>
    </row>
    <row r="610" spans="1:3">
      <c r="A610" s="27" t="s">
        <v>1291</v>
      </c>
      <c r="B610" s="4" t="s">
        <v>1292</v>
      </c>
      <c r="C610" s="22">
        <v>0.62</v>
      </c>
    </row>
    <row r="611" spans="1:3">
      <c r="A611" s="27" t="s">
        <v>1293</v>
      </c>
      <c r="B611" s="4" t="s">
        <v>1294</v>
      </c>
      <c r="C611" s="22">
        <v>0.62</v>
      </c>
    </row>
    <row r="612" spans="1:3">
      <c r="A612" s="27" t="s">
        <v>1295</v>
      </c>
      <c r="B612" s="4" t="s">
        <v>1296</v>
      </c>
      <c r="C612" s="22">
        <v>0.62</v>
      </c>
    </row>
    <row r="613" spans="1:3">
      <c r="A613" s="27" t="s">
        <v>1297</v>
      </c>
      <c r="B613" s="4" t="s">
        <v>1298</v>
      </c>
      <c r="C613" s="22">
        <v>0.62</v>
      </c>
    </row>
    <row r="614" spans="1:3">
      <c r="A614" s="27" t="s">
        <v>1299</v>
      </c>
      <c r="B614" s="4" t="s">
        <v>1300</v>
      </c>
      <c r="C614" s="22">
        <v>0.62</v>
      </c>
    </row>
    <row r="615" spans="1:3">
      <c r="A615" s="27" t="s">
        <v>1301</v>
      </c>
      <c r="B615" s="4" t="s">
        <v>1302</v>
      </c>
      <c r="C615" s="22">
        <v>0.62</v>
      </c>
    </row>
    <row r="616" spans="1:3">
      <c r="A616" s="27" t="s">
        <v>1303</v>
      </c>
      <c r="B616" s="4" t="s">
        <v>1304</v>
      </c>
      <c r="C616" s="22">
        <v>0.62</v>
      </c>
    </row>
    <row r="617" spans="1:3">
      <c r="A617" s="27" t="s">
        <v>1305</v>
      </c>
      <c r="B617" s="4" t="s">
        <v>1306</v>
      </c>
      <c r="C617" s="22">
        <v>0.62</v>
      </c>
    </row>
    <row r="618" spans="1:3">
      <c r="A618" s="27" t="s">
        <v>1307</v>
      </c>
      <c r="B618" s="4" t="s">
        <v>1308</v>
      </c>
      <c r="C618" s="22">
        <v>0.62</v>
      </c>
    </row>
    <row r="619" spans="1:3">
      <c r="A619" s="27" t="s">
        <v>1309</v>
      </c>
      <c r="B619" s="4" t="s">
        <v>1310</v>
      </c>
      <c r="C619" s="22">
        <v>0.62</v>
      </c>
    </row>
    <row r="620" spans="1:3">
      <c r="A620" s="27" t="s">
        <v>1311</v>
      </c>
      <c r="B620" s="4" t="s">
        <v>1312</v>
      </c>
      <c r="C620" s="22">
        <v>0.62</v>
      </c>
    </row>
    <row r="621" spans="1:3">
      <c r="A621" s="27" t="s">
        <v>1313</v>
      </c>
      <c r="B621" s="4" t="s">
        <v>1314</v>
      </c>
      <c r="C621" s="22">
        <v>0.62</v>
      </c>
    </row>
    <row r="622" spans="1:3">
      <c r="A622" s="27" t="s">
        <v>1315</v>
      </c>
      <c r="B622" s="4" t="s">
        <v>1316</v>
      </c>
      <c r="C622" s="22">
        <v>0.62</v>
      </c>
    </row>
    <row r="623" spans="1:3">
      <c r="A623" s="27" t="s">
        <v>1317</v>
      </c>
      <c r="B623" s="4" t="s">
        <v>1318</v>
      </c>
      <c r="C623" s="22">
        <v>0.62</v>
      </c>
    </row>
    <row r="624" spans="1:3">
      <c r="A624" s="27" t="s">
        <v>1319</v>
      </c>
      <c r="B624" s="4" t="s">
        <v>1320</v>
      </c>
      <c r="C624" s="22">
        <v>0.62</v>
      </c>
    </row>
    <row r="625" spans="1:3">
      <c r="A625" s="27" t="s">
        <v>1321</v>
      </c>
      <c r="B625" s="4" t="s">
        <v>1322</v>
      </c>
      <c r="C625" s="22">
        <v>0.62</v>
      </c>
    </row>
    <row r="626" spans="1:3">
      <c r="A626" s="27" t="s">
        <v>1323</v>
      </c>
      <c r="B626" s="4" t="s">
        <v>1324</v>
      </c>
      <c r="C626" s="22">
        <v>0.62</v>
      </c>
    </row>
    <row r="627" spans="1:3">
      <c r="A627" s="27" t="s">
        <v>1325</v>
      </c>
      <c r="B627" s="4" t="s">
        <v>1326</v>
      </c>
      <c r="C627" s="22">
        <v>0.62</v>
      </c>
    </row>
    <row r="628" spans="1:3">
      <c r="A628" s="27" t="s">
        <v>1327</v>
      </c>
      <c r="B628" s="4" t="s">
        <v>1328</v>
      </c>
      <c r="C628" s="22">
        <v>0.62</v>
      </c>
    </row>
    <row r="629" spans="1:3">
      <c r="A629" s="27" t="s">
        <v>1329</v>
      </c>
      <c r="B629" s="4" t="s">
        <v>1330</v>
      </c>
      <c r="C629" s="22">
        <v>0.62</v>
      </c>
    </row>
    <row r="630" spans="1:3">
      <c r="A630" s="27" t="s">
        <v>1331</v>
      </c>
      <c r="B630" s="4" t="s">
        <v>1332</v>
      </c>
      <c r="C630" s="22">
        <v>0.62</v>
      </c>
    </row>
    <row r="631" spans="1:3">
      <c r="A631" s="27" t="s">
        <v>1333</v>
      </c>
      <c r="B631" s="4" t="s">
        <v>1334</v>
      </c>
      <c r="C631" s="22">
        <v>0.62</v>
      </c>
    </row>
    <row r="632" spans="1:3">
      <c r="A632" s="27" t="s">
        <v>1335</v>
      </c>
      <c r="B632" s="4" t="s">
        <v>1336</v>
      </c>
      <c r="C632" s="22">
        <v>0.62</v>
      </c>
    </row>
    <row r="633" spans="1:3">
      <c r="A633" s="27" t="s">
        <v>1337</v>
      </c>
      <c r="B633" s="4" t="s">
        <v>1338</v>
      </c>
      <c r="C633" s="22">
        <v>0.62</v>
      </c>
    </row>
    <row r="634" spans="1:3">
      <c r="A634" s="27" t="s">
        <v>1339</v>
      </c>
      <c r="B634" s="4" t="s">
        <v>1340</v>
      </c>
      <c r="C634" s="22">
        <v>0.62</v>
      </c>
    </row>
    <row r="635" spans="1:3">
      <c r="A635" s="27" t="s">
        <v>1341</v>
      </c>
      <c r="B635" s="4" t="s">
        <v>1342</v>
      </c>
      <c r="C635" s="22">
        <v>0.62</v>
      </c>
    </row>
    <row r="636" spans="1:3">
      <c r="A636" s="27" t="s">
        <v>1343</v>
      </c>
      <c r="B636" s="4" t="s">
        <v>1344</v>
      </c>
      <c r="C636" s="22">
        <v>0.62</v>
      </c>
    </row>
    <row r="637" spans="1:3">
      <c r="A637" s="27" t="s">
        <v>1345</v>
      </c>
      <c r="B637" s="4" t="s">
        <v>1346</v>
      </c>
      <c r="C637" s="22">
        <v>0.62</v>
      </c>
    </row>
    <row r="638" spans="1:3">
      <c r="A638" s="27" t="s">
        <v>1347</v>
      </c>
      <c r="B638" s="4" t="s">
        <v>1348</v>
      </c>
      <c r="C638" s="22">
        <v>0.62</v>
      </c>
    </row>
    <row r="639" spans="1:3">
      <c r="A639" s="27" t="s">
        <v>1349</v>
      </c>
      <c r="B639" s="4" t="s">
        <v>1350</v>
      </c>
      <c r="C639" s="22">
        <v>0.62</v>
      </c>
    </row>
    <row r="640" spans="1:3">
      <c r="A640" s="27" t="s">
        <v>1351</v>
      </c>
      <c r="B640" s="4" t="s">
        <v>1352</v>
      </c>
      <c r="C640" s="22">
        <v>0.62</v>
      </c>
    </row>
    <row r="641" spans="1:3">
      <c r="A641" s="27" t="s">
        <v>1353</v>
      </c>
      <c r="B641" s="4" t="s">
        <v>1354</v>
      </c>
      <c r="C641" s="22">
        <v>0.62</v>
      </c>
    </row>
    <row r="642" spans="1:3">
      <c r="A642" s="27" t="s">
        <v>1355</v>
      </c>
      <c r="B642" s="4" t="s">
        <v>1356</v>
      </c>
      <c r="C642" s="22">
        <v>0.62</v>
      </c>
    </row>
    <row r="643" spans="1:3">
      <c r="A643" s="27" t="s">
        <v>1357</v>
      </c>
      <c r="B643" s="4" t="s">
        <v>1358</v>
      </c>
      <c r="C643" s="22">
        <v>0.62</v>
      </c>
    </row>
    <row r="644" spans="1:3">
      <c r="A644" s="27" t="s">
        <v>1359</v>
      </c>
      <c r="B644" s="4" t="s">
        <v>1360</v>
      </c>
      <c r="C644" s="22">
        <v>0.4</v>
      </c>
    </row>
    <row r="645" spans="1:3">
      <c r="A645" s="27" t="s">
        <v>1361</v>
      </c>
      <c r="B645" s="4" t="s">
        <v>1362</v>
      </c>
      <c r="C645" s="22">
        <v>0.4</v>
      </c>
    </row>
    <row r="646" spans="1:3">
      <c r="A646" s="27" t="s">
        <v>1363</v>
      </c>
      <c r="B646" s="4" t="s">
        <v>1364</v>
      </c>
      <c r="C646" s="22">
        <v>0.4</v>
      </c>
    </row>
    <row r="647" spans="1:3">
      <c r="A647" s="27" t="s">
        <v>1365</v>
      </c>
      <c r="B647" s="4" t="s">
        <v>1366</v>
      </c>
      <c r="C647" s="22">
        <v>0.4</v>
      </c>
    </row>
    <row r="648" spans="1:3">
      <c r="A648" s="27" t="s">
        <v>1367</v>
      </c>
      <c r="B648" s="4" t="s">
        <v>1368</v>
      </c>
      <c r="C648" s="22">
        <v>0.4</v>
      </c>
    </row>
    <row r="649" spans="1:3">
      <c r="A649" s="27" t="s">
        <v>1369</v>
      </c>
      <c r="B649" s="4" t="s">
        <v>1370</v>
      </c>
      <c r="C649" s="22">
        <v>0.4</v>
      </c>
    </row>
    <row r="650" spans="1:3">
      <c r="A650" s="27" t="s">
        <v>1371</v>
      </c>
      <c r="B650" s="4" t="s">
        <v>1372</v>
      </c>
      <c r="C650" s="22">
        <v>0.4</v>
      </c>
    </row>
    <row r="651" spans="1:3">
      <c r="A651" s="27" t="s">
        <v>1373</v>
      </c>
      <c r="B651" s="4" t="s">
        <v>1374</v>
      </c>
      <c r="C651" s="22">
        <v>0.4</v>
      </c>
    </row>
    <row r="652" spans="1:3">
      <c r="A652" s="27" t="s">
        <v>1375</v>
      </c>
      <c r="B652" s="4" t="s">
        <v>1376</v>
      </c>
      <c r="C652" s="22">
        <v>0.4</v>
      </c>
    </row>
    <row r="653" spans="1:3">
      <c r="A653" s="27" t="s">
        <v>1377</v>
      </c>
      <c r="B653" s="4" t="s">
        <v>1378</v>
      </c>
      <c r="C653" s="22">
        <v>0.4</v>
      </c>
    </row>
    <row r="654" spans="1:3">
      <c r="A654" s="27" t="s">
        <v>1379</v>
      </c>
      <c r="B654" s="4" t="s">
        <v>1380</v>
      </c>
      <c r="C654" s="22">
        <v>0.4</v>
      </c>
    </row>
    <row r="655" spans="1:3">
      <c r="A655" s="27" t="s">
        <v>1381</v>
      </c>
      <c r="B655" s="4" t="s">
        <v>1382</v>
      </c>
      <c r="C655" s="22">
        <v>0.4</v>
      </c>
    </row>
    <row r="656" spans="1:3">
      <c r="A656" s="27" t="s">
        <v>1383</v>
      </c>
      <c r="B656" s="4" t="s">
        <v>1384</v>
      </c>
      <c r="C656" s="22">
        <v>0.4</v>
      </c>
    </row>
    <row r="657" spans="1:3">
      <c r="A657" s="27" t="s">
        <v>1385</v>
      </c>
      <c r="B657" s="4" t="s">
        <v>1386</v>
      </c>
      <c r="C657" s="22">
        <v>0.4</v>
      </c>
    </row>
    <row r="658" spans="1:3">
      <c r="A658" s="27" t="s">
        <v>1387</v>
      </c>
      <c r="B658" s="4" t="s">
        <v>1388</v>
      </c>
      <c r="C658" s="22">
        <v>0.4</v>
      </c>
    </row>
    <row r="659" spans="1:3">
      <c r="A659" s="27" t="s">
        <v>1389</v>
      </c>
      <c r="B659" s="4" t="s">
        <v>1390</v>
      </c>
      <c r="C659" s="22">
        <v>0.4</v>
      </c>
    </row>
    <row r="660" spans="1:3">
      <c r="A660" s="27" t="s">
        <v>1391</v>
      </c>
      <c r="B660" s="4" t="s">
        <v>1392</v>
      </c>
      <c r="C660" s="22">
        <v>0.4</v>
      </c>
    </row>
    <row r="661" spans="1:3">
      <c r="A661" s="27" t="s">
        <v>1393</v>
      </c>
      <c r="B661" s="4" t="s">
        <v>1394</v>
      </c>
      <c r="C661" s="22">
        <v>0.4</v>
      </c>
    </row>
    <row r="662" spans="1:3">
      <c r="A662" s="27" t="s">
        <v>1395</v>
      </c>
      <c r="B662" s="4" t="s">
        <v>1396</v>
      </c>
      <c r="C662" s="22">
        <v>0.4</v>
      </c>
    </row>
    <row r="663" spans="1:3">
      <c r="A663" s="27" t="s">
        <v>1397</v>
      </c>
      <c r="B663" s="4" t="s">
        <v>1398</v>
      </c>
      <c r="C663" s="22">
        <v>0.4</v>
      </c>
    </row>
    <row r="664" spans="1:3">
      <c r="A664" s="27" t="s">
        <v>1399</v>
      </c>
      <c r="B664" s="4" t="s">
        <v>1400</v>
      </c>
      <c r="C664" s="22">
        <v>0.4</v>
      </c>
    </row>
    <row r="665" spans="1:3">
      <c r="A665" s="27" t="s">
        <v>1401</v>
      </c>
      <c r="B665" s="4" t="s">
        <v>1402</v>
      </c>
      <c r="C665" s="22">
        <v>0.4</v>
      </c>
    </row>
    <row r="666" spans="1:3">
      <c r="A666" s="27" t="s">
        <v>1403</v>
      </c>
      <c r="B666" s="4" t="s">
        <v>1404</v>
      </c>
      <c r="C666" s="22">
        <v>0.4</v>
      </c>
    </row>
    <row r="667" spans="1:3">
      <c r="A667" s="27" t="s">
        <v>1405</v>
      </c>
      <c r="B667" s="4" t="s">
        <v>1406</v>
      </c>
      <c r="C667" s="22">
        <v>0.4</v>
      </c>
    </row>
    <row r="668" spans="1:3">
      <c r="A668" s="27" t="s">
        <v>1407</v>
      </c>
      <c r="B668" s="4" t="s">
        <v>1408</v>
      </c>
      <c r="C668" s="22">
        <v>0.4</v>
      </c>
    </row>
    <row r="669" spans="1:3">
      <c r="A669" s="27" t="s">
        <v>1409</v>
      </c>
      <c r="B669" s="4" t="s">
        <v>1410</v>
      </c>
      <c r="C669" s="22">
        <v>0.4</v>
      </c>
    </row>
    <row r="670" spans="1:3">
      <c r="A670" s="27" t="s">
        <v>1411</v>
      </c>
      <c r="B670" s="4" t="s">
        <v>1412</v>
      </c>
      <c r="C670" s="22">
        <v>0.4</v>
      </c>
    </row>
    <row r="671" spans="1:3">
      <c r="A671" s="27" t="s">
        <v>1413</v>
      </c>
      <c r="B671" s="4" t="s">
        <v>1414</v>
      </c>
      <c r="C671" s="22">
        <v>0.4</v>
      </c>
    </row>
    <row r="672" spans="1:3">
      <c r="A672" s="27" t="s">
        <v>1415</v>
      </c>
      <c r="B672" s="4" t="s">
        <v>1416</v>
      </c>
      <c r="C672" s="22">
        <v>0.4</v>
      </c>
    </row>
    <row r="673" spans="1:3">
      <c r="A673" s="27" t="s">
        <v>1417</v>
      </c>
      <c r="B673" s="4" t="s">
        <v>1418</v>
      </c>
      <c r="C673" s="22">
        <v>0.4</v>
      </c>
    </row>
    <row r="674" spans="1:3">
      <c r="A674" s="27" t="s">
        <v>1419</v>
      </c>
      <c r="B674" s="4" t="s">
        <v>1420</v>
      </c>
      <c r="C674" s="22">
        <v>0.4</v>
      </c>
    </row>
    <row r="675" spans="1:3">
      <c r="A675" s="27" t="s">
        <v>1421</v>
      </c>
      <c r="B675" s="4" t="s">
        <v>1422</v>
      </c>
      <c r="C675" s="22">
        <v>0.4</v>
      </c>
    </row>
    <row r="676" spans="1:3">
      <c r="A676" s="27" t="s">
        <v>1423</v>
      </c>
      <c r="B676" s="4" t="s">
        <v>1424</v>
      </c>
      <c r="C676" s="22">
        <v>0.4</v>
      </c>
    </row>
    <row r="677" spans="1:3">
      <c r="A677" s="27" t="s">
        <v>1425</v>
      </c>
      <c r="B677" s="4" t="s">
        <v>1426</v>
      </c>
      <c r="C677" s="22">
        <v>0.4</v>
      </c>
    </row>
    <row r="678" spans="1:3">
      <c r="A678" s="27" t="s">
        <v>1427</v>
      </c>
      <c r="B678" s="4" t="s">
        <v>1428</v>
      </c>
      <c r="C678" s="22">
        <v>0.4</v>
      </c>
    </row>
    <row r="679" spans="1:3">
      <c r="A679" s="27" t="s">
        <v>1429</v>
      </c>
      <c r="B679" s="4" t="s">
        <v>1430</v>
      </c>
      <c r="C679" s="22">
        <v>0.4</v>
      </c>
    </row>
    <row r="680" spans="1:3">
      <c r="A680" s="27" t="s">
        <v>1431</v>
      </c>
      <c r="B680" s="4" t="s">
        <v>1432</v>
      </c>
      <c r="C680" s="22">
        <v>0.4</v>
      </c>
    </row>
    <row r="681" spans="1:3">
      <c r="A681" s="27" t="s">
        <v>1433</v>
      </c>
      <c r="B681" s="4" t="s">
        <v>1434</v>
      </c>
      <c r="C681" s="22">
        <v>0.4</v>
      </c>
    </row>
    <row r="682" spans="1:3">
      <c r="A682" s="27" t="s">
        <v>1435</v>
      </c>
      <c r="B682" s="4" t="s">
        <v>1436</v>
      </c>
      <c r="C682" s="22">
        <v>0.4</v>
      </c>
    </row>
    <row r="683" spans="1:3">
      <c r="A683" s="27" t="s">
        <v>1437</v>
      </c>
      <c r="B683" s="4" t="s">
        <v>1438</v>
      </c>
      <c r="C683" s="22">
        <v>0.4</v>
      </c>
    </row>
    <row r="684" spans="1:3">
      <c r="A684" s="27" t="s">
        <v>1439</v>
      </c>
      <c r="B684" s="4" t="s">
        <v>1440</v>
      </c>
      <c r="C684" s="22">
        <v>0.4</v>
      </c>
    </row>
    <row r="685" spans="1:3">
      <c r="A685" s="27" t="s">
        <v>1441</v>
      </c>
      <c r="B685" s="4" t="s">
        <v>1442</v>
      </c>
      <c r="C685" s="22">
        <v>0.4</v>
      </c>
    </row>
    <row r="686" spans="1:3">
      <c r="A686" s="27" t="s">
        <v>1443</v>
      </c>
      <c r="B686" s="4" t="s">
        <v>1444</v>
      </c>
      <c r="C686" s="22">
        <v>0.4</v>
      </c>
    </row>
    <row r="687" spans="1:3">
      <c r="A687" s="27" t="s">
        <v>1445</v>
      </c>
      <c r="B687" s="4" t="s">
        <v>1446</v>
      </c>
      <c r="C687" s="22">
        <v>0.4</v>
      </c>
    </row>
    <row r="688" spans="1:3">
      <c r="A688" s="27" t="s">
        <v>1447</v>
      </c>
      <c r="B688" s="4" t="s">
        <v>1448</v>
      </c>
      <c r="C688" s="22">
        <v>0.4</v>
      </c>
    </row>
    <row r="689" spans="1:3">
      <c r="A689" s="27" t="s">
        <v>1449</v>
      </c>
      <c r="B689" s="4" t="s">
        <v>1450</v>
      </c>
      <c r="C689" s="22">
        <v>0.4</v>
      </c>
    </row>
    <row r="690" spans="1:3">
      <c r="A690" s="27" t="s">
        <v>1451</v>
      </c>
      <c r="B690" s="4" t="s">
        <v>1452</v>
      </c>
      <c r="C690" s="22">
        <v>0.4</v>
      </c>
    </row>
    <row r="691" spans="1:3">
      <c r="A691" s="27" t="s">
        <v>1453</v>
      </c>
      <c r="B691" s="4" t="s">
        <v>1454</v>
      </c>
      <c r="C691" s="22">
        <v>0.4</v>
      </c>
    </row>
    <row r="692" spans="1:3">
      <c r="A692" s="27" t="s">
        <v>1455</v>
      </c>
      <c r="B692" s="4" t="s">
        <v>1456</v>
      </c>
      <c r="C692" s="22">
        <v>0.4</v>
      </c>
    </row>
    <row r="693" spans="1:3">
      <c r="A693" s="27" t="s">
        <v>1457</v>
      </c>
      <c r="B693" s="4" t="s">
        <v>1458</v>
      </c>
      <c r="C693" s="22">
        <v>0.4</v>
      </c>
    </row>
    <row r="694" spans="1:3">
      <c r="A694" s="27" t="s">
        <v>1459</v>
      </c>
      <c r="B694" s="4" t="s">
        <v>1460</v>
      </c>
      <c r="C694" s="22">
        <v>0.4</v>
      </c>
    </row>
    <row r="695" spans="1:3">
      <c r="A695" s="27" t="s">
        <v>1461</v>
      </c>
      <c r="B695" s="4" t="s">
        <v>1462</v>
      </c>
      <c r="C695" s="22">
        <v>0.4</v>
      </c>
    </row>
    <row r="696" spans="1:3">
      <c r="A696" s="27" t="s">
        <v>1463</v>
      </c>
      <c r="B696" s="4" t="s">
        <v>1464</v>
      </c>
      <c r="C696" s="22">
        <v>0.4</v>
      </c>
    </row>
    <row r="697" spans="1:3">
      <c r="A697" s="27" t="s">
        <v>1465</v>
      </c>
      <c r="B697" s="4" t="s">
        <v>1466</v>
      </c>
      <c r="C697" s="22">
        <v>0.4</v>
      </c>
    </row>
    <row r="698" spans="1:3">
      <c r="A698" s="27" t="s">
        <v>1467</v>
      </c>
      <c r="B698" s="4" t="s">
        <v>1468</v>
      </c>
      <c r="C698" s="22">
        <v>0.4</v>
      </c>
    </row>
    <row r="699" spans="1:3">
      <c r="A699" s="27" t="s">
        <v>1469</v>
      </c>
      <c r="B699" s="4" t="s">
        <v>1470</v>
      </c>
      <c r="C699" s="22">
        <v>0.4</v>
      </c>
    </row>
    <row r="700" spans="1:3">
      <c r="A700" s="27" t="s">
        <v>1471</v>
      </c>
      <c r="B700" s="4" t="s">
        <v>1472</v>
      </c>
      <c r="C700" s="22">
        <v>0.4</v>
      </c>
    </row>
    <row r="701" spans="1:3">
      <c r="A701" s="27" t="s">
        <v>1473</v>
      </c>
      <c r="B701" s="4" t="s">
        <v>1474</v>
      </c>
      <c r="C701" s="22">
        <v>0.4</v>
      </c>
    </row>
    <row r="702" spans="1:3">
      <c r="A702" s="27" t="s">
        <v>1475</v>
      </c>
      <c r="B702" s="4" t="s">
        <v>1476</v>
      </c>
      <c r="C702" s="22">
        <v>0.4</v>
      </c>
    </row>
    <row r="703" spans="1:3">
      <c r="A703" s="27" t="s">
        <v>1477</v>
      </c>
      <c r="B703" s="4" t="s">
        <v>1478</v>
      </c>
      <c r="C703" s="22">
        <v>0.4</v>
      </c>
    </row>
    <row r="704" spans="1:3">
      <c r="A704" s="27" t="s">
        <v>1479</v>
      </c>
      <c r="B704" s="4" t="s">
        <v>1480</v>
      </c>
      <c r="C704" s="22">
        <v>0.4</v>
      </c>
    </row>
    <row r="705" spans="1:3">
      <c r="A705" s="27" t="s">
        <v>1481</v>
      </c>
      <c r="B705" s="4" t="s">
        <v>1482</v>
      </c>
      <c r="C705" s="22">
        <v>0.4</v>
      </c>
    </row>
    <row r="706" spans="1:3">
      <c r="A706" s="27" t="s">
        <v>1483</v>
      </c>
      <c r="B706" s="4" t="s">
        <v>1484</v>
      </c>
      <c r="C706" s="22">
        <v>0.4</v>
      </c>
    </row>
    <row r="707" spans="1:3">
      <c r="A707" s="27" t="s">
        <v>1485</v>
      </c>
      <c r="B707" s="4" t="s">
        <v>1486</v>
      </c>
      <c r="C707" s="22">
        <v>0.4</v>
      </c>
    </row>
    <row r="708" spans="1:3">
      <c r="A708" s="27" t="s">
        <v>1487</v>
      </c>
      <c r="B708" s="4" t="s">
        <v>1488</v>
      </c>
      <c r="C708" s="22">
        <v>0.4</v>
      </c>
    </row>
    <row r="709" spans="1:3">
      <c r="A709" s="27" t="s">
        <v>1489</v>
      </c>
      <c r="B709" s="4" t="s">
        <v>1490</v>
      </c>
      <c r="C709" s="22">
        <v>0.4</v>
      </c>
    </row>
    <row r="710" spans="1:3">
      <c r="A710" s="27" t="s">
        <v>1491</v>
      </c>
      <c r="B710" s="4" t="s">
        <v>1492</v>
      </c>
      <c r="C710" s="22">
        <v>0.4</v>
      </c>
    </row>
    <row r="711" spans="1:3">
      <c r="A711" s="27" t="s">
        <v>1493</v>
      </c>
      <c r="B711" s="4" t="s">
        <v>1494</v>
      </c>
      <c r="C711" s="22">
        <v>0.4</v>
      </c>
    </row>
    <row r="712" spans="1:3">
      <c r="A712" s="27" t="s">
        <v>1495</v>
      </c>
      <c r="B712" s="4" t="s">
        <v>1496</v>
      </c>
      <c r="C712" s="22">
        <v>0.4</v>
      </c>
    </row>
    <row r="713" spans="1:3">
      <c r="A713" s="27" t="s">
        <v>1497</v>
      </c>
      <c r="B713" s="4" t="s">
        <v>1498</v>
      </c>
      <c r="C713" s="22">
        <v>0.4</v>
      </c>
    </row>
    <row r="714" spans="1:3">
      <c r="A714" s="27" t="s">
        <v>1499</v>
      </c>
      <c r="B714" s="4" t="s">
        <v>1500</v>
      </c>
      <c r="C714" s="22">
        <v>0.4</v>
      </c>
    </row>
    <row r="715" spans="1:3">
      <c r="A715" s="27" t="s">
        <v>1501</v>
      </c>
      <c r="B715" s="4" t="s">
        <v>1502</v>
      </c>
      <c r="C715" s="22">
        <v>0.4</v>
      </c>
    </row>
    <row r="716" spans="1:3">
      <c r="A716" s="27" t="s">
        <v>1503</v>
      </c>
      <c r="B716" s="4" t="s">
        <v>1504</v>
      </c>
      <c r="C716" s="22">
        <v>0.4</v>
      </c>
    </row>
    <row r="717" spans="1:3">
      <c r="A717" s="27" t="s">
        <v>1505</v>
      </c>
      <c r="B717" s="4" t="s">
        <v>1506</v>
      </c>
      <c r="C717" s="22">
        <v>0.4</v>
      </c>
    </row>
    <row r="718" spans="1:3">
      <c r="A718" s="27" t="s">
        <v>1507</v>
      </c>
      <c r="B718" s="4" t="s">
        <v>1508</v>
      </c>
      <c r="C718" s="22">
        <v>0.4</v>
      </c>
    </row>
    <row r="719" spans="1:3">
      <c r="A719" s="27" t="s">
        <v>1509</v>
      </c>
      <c r="B719" s="4" t="s">
        <v>1510</v>
      </c>
      <c r="C719" s="22">
        <v>0.4</v>
      </c>
    </row>
    <row r="720" spans="1:3">
      <c r="A720" s="27" t="s">
        <v>1511</v>
      </c>
      <c r="B720" s="4" t="s">
        <v>1512</v>
      </c>
      <c r="C720" s="22">
        <v>0.4</v>
      </c>
    </row>
    <row r="721" spans="1:3">
      <c r="A721" s="27" t="s">
        <v>1513</v>
      </c>
      <c r="B721" s="4" t="s">
        <v>1514</v>
      </c>
      <c r="C721" s="22">
        <v>0.4</v>
      </c>
    </row>
    <row r="722" spans="1:3">
      <c r="A722" s="27" t="s">
        <v>1515</v>
      </c>
      <c r="B722" s="4" t="s">
        <v>1516</v>
      </c>
      <c r="C722" s="22">
        <v>0.4</v>
      </c>
    </row>
    <row r="723" spans="1:3">
      <c r="A723" s="27" t="s">
        <v>1517</v>
      </c>
      <c r="B723" s="4" t="s">
        <v>1518</v>
      </c>
      <c r="C723" s="22">
        <v>0.4</v>
      </c>
    </row>
    <row r="724" spans="1:3">
      <c r="A724" s="27" t="s">
        <v>1519</v>
      </c>
      <c r="B724" s="4" t="s">
        <v>1520</v>
      </c>
      <c r="C724" s="22">
        <v>0.4</v>
      </c>
    </row>
    <row r="725" spans="1:3">
      <c r="A725" s="27" t="s">
        <v>1521</v>
      </c>
      <c r="B725" s="4" t="s">
        <v>1522</v>
      </c>
      <c r="C725" s="22">
        <v>0.4</v>
      </c>
    </row>
    <row r="726" spans="1:3">
      <c r="A726" s="27" t="s">
        <v>1523</v>
      </c>
      <c r="B726" s="4" t="s">
        <v>1524</v>
      </c>
      <c r="C726" s="22">
        <v>0.4</v>
      </c>
    </row>
    <row r="727" spans="1:3">
      <c r="A727" s="27" t="s">
        <v>1525</v>
      </c>
      <c r="B727" s="4" t="s">
        <v>1526</v>
      </c>
      <c r="C727" s="22">
        <v>0.4</v>
      </c>
    </row>
    <row r="728" spans="1:3">
      <c r="A728" s="27" t="s">
        <v>1527</v>
      </c>
      <c r="B728" s="4" t="s">
        <v>1528</v>
      </c>
      <c r="C728" s="22">
        <v>0.4</v>
      </c>
    </row>
    <row r="729" spans="1:3">
      <c r="A729" s="27" t="s">
        <v>1529</v>
      </c>
      <c r="B729" s="4" t="s">
        <v>1530</v>
      </c>
      <c r="C729" s="22">
        <v>0.4</v>
      </c>
    </row>
    <row r="730" spans="1:3">
      <c r="A730" s="27" t="s">
        <v>1531</v>
      </c>
      <c r="B730" s="4" t="s">
        <v>1532</v>
      </c>
      <c r="C730" s="22">
        <v>0.4</v>
      </c>
    </row>
    <row r="731" spans="1:3">
      <c r="A731" s="27" t="s">
        <v>1533</v>
      </c>
      <c r="B731" s="4" t="s">
        <v>1534</v>
      </c>
      <c r="C731" s="22">
        <v>0.4</v>
      </c>
    </row>
    <row r="732" spans="1:3">
      <c r="A732" s="27" t="s">
        <v>1535</v>
      </c>
      <c r="B732" s="4" t="s">
        <v>1536</v>
      </c>
      <c r="C732" s="22">
        <v>0.4</v>
      </c>
    </row>
    <row r="733" spans="1:3">
      <c r="A733" s="27" t="s">
        <v>1537</v>
      </c>
      <c r="B733" s="4" t="s">
        <v>1538</v>
      </c>
      <c r="C733" s="22">
        <v>0.4</v>
      </c>
    </row>
    <row r="734" spans="1:3">
      <c r="A734" s="27" t="s">
        <v>1539</v>
      </c>
      <c r="B734" s="4" t="s">
        <v>1540</v>
      </c>
      <c r="C734" s="22">
        <v>0.4</v>
      </c>
    </row>
    <row r="735" spans="1:3">
      <c r="A735" s="27" t="s">
        <v>1541</v>
      </c>
      <c r="B735" s="4" t="s">
        <v>1542</v>
      </c>
      <c r="C735" s="22">
        <v>0.4</v>
      </c>
    </row>
    <row r="736" spans="1:3">
      <c r="A736" s="27" t="s">
        <v>1543</v>
      </c>
      <c r="B736" s="4" t="s">
        <v>1544</v>
      </c>
      <c r="C736" s="22">
        <v>0.4</v>
      </c>
    </row>
    <row r="737" spans="1:3">
      <c r="A737" s="27" t="s">
        <v>1545</v>
      </c>
      <c r="B737" s="4" t="s">
        <v>1546</v>
      </c>
      <c r="C737" s="22">
        <v>0.4</v>
      </c>
    </row>
    <row r="738" spans="1:3">
      <c r="A738" s="27" t="s">
        <v>1547</v>
      </c>
      <c r="B738" s="4" t="s">
        <v>1548</v>
      </c>
      <c r="C738" s="22">
        <v>0.4</v>
      </c>
    </row>
    <row r="739" spans="1:3">
      <c r="A739" s="27" t="s">
        <v>1549</v>
      </c>
      <c r="B739" s="4" t="s">
        <v>1550</v>
      </c>
      <c r="C739" s="22">
        <v>0.4</v>
      </c>
    </row>
    <row r="740" spans="1:3">
      <c r="A740" s="27" t="s">
        <v>1551</v>
      </c>
      <c r="B740" s="4" t="s">
        <v>1552</v>
      </c>
      <c r="C740" s="22">
        <v>0.4</v>
      </c>
    </row>
    <row r="741" spans="1:3">
      <c r="A741" s="27" t="s">
        <v>1553</v>
      </c>
      <c r="B741" s="4" t="s">
        <v>1554</v>
      </c>
      <c r="C741" s="22">
        <v>0.4</v>
      </c>
    </row>
    <row r="742" spans="1:3">
      <c r="A742" s="27" t="s">
        <v>1555</v>
      </c>
      <c r="B742" s="4" t="s">
        <v>1556</v>
      </c>
      <c r="C742" s="22">
        <v>0.4</v>
      </c>
    </row>
    <row r="743" spans="1:3">
      <c r="A743" s="27" t="s">
        <v>1557</v>
      </c>
      <c r="B743" s="4" t="s">
        <v>1558</v>
      </c>
      <c r="C743" s="22">
        <v>0.4</v>
      </c>
    </row>
    <row r="744" spans="1:3">
      <c r="A744" s="27" t="s">
        <v>1559</v>
      </c>
      <c r="B744" s="4" t="s">
        <v>1560</v>
      </c>
      <c r="C744" s="22">
        <v>0.4</v>
      </c>
    </row>
    <row r="745" spans="1:3">
      <c r="A745" s="27" t="s">
        <v>1561</v>
      </c>
      <c r="B745" s="4" t="s">
        <v>1562</v>
      </c>
      <c r="C745" s="22">
        <v>0.4</v>
      </c>
    </row>
    <row r="746" spans="1:3">
      <c r="A746" s="27" t="s">
        <v>1563</v>
      </c>
      <c r="B746" s="4" t="s">
        <v>1564</v>
      </c>
      <c r="C746" s="22">
        <v>0.4</v>
      </c>
    </row>
    <row r="747" spans="1:3">
      <c r="A747" s="27" t="s">
        <v>1565</v>
      </c>
      <c r="B747" s="4" t="s">
        <v>1566</v>
      </c>
      <c r="C747" s="22">
        <v>0.4</v>
      </c>
    </row>
    <row r="748" spans="1:3">
      <c r="A748" s="27" t="s">
        <v>1567</v>
      </c>
      <c r="B748" s="4" t="s">
        <v>1568</v>
      </c>
      <c r="C748" s="22">
        <v>0.4</v>
      </c>
    </row>
    <row r="749" spans="1:3">
      <c r="A749" s="27" t="s">
        <v>1569</v>
      </c>
      <c r="B749" s="4" t="s">
        <v>1570</v>
      </c>
      <c r="C749" s="22">
        <v>0.4</v>
      </c>
    </row>
    <row r="750" spans="1:3">
      <c r="A750" s="27" t="s">
        <v>1571</v>
      </c>
      <c r="B750" s="4" t="s">
        <v>1572</v>
      </c>
      <c r="C750" s="22">
        <v>0.4</v>
      </c>
    </row>
    <row r="751" spans="1:3">
      <c r="A751" s="27" t="s">
        <v>1573</v>
      </c>
      <c r="B751" s="4" t="s">
        <v>1574</v>
      </c>
      <c r="C751" s="22">
        <v>0.4</v>
      </c>
    </row>
    <row r="752" spans="1:3">
      <c r="A752" s="27" t="s">
        <v>1575</v>
      </c>
      <c r="B752" s="4" t="s">
        <v>1576</v>
      </c>
      <c r="C752" s="22">
        <v>0.4</v>
      </c>
    </row>
    <row r="753" spans="1:3">
      <c r="A753" s="27" t="s">
        <v>1577</v>
      </c>
      <c r="B753" s="4" t="s">
        <v>1578</v>
      </c>
      <c r="C753" s="22">
        <v>0.4</v>
      </c>
    </row>
    <row r="754" spans="1:3">
      <c r="A754" s="27" t="s">
        <v>1579</v>
      </c>
      <c r="B754" s="4" t="s">
        <v>1580</v>
      </c>
      <c r="C754" s="22">
        <v>0.4</v>
      </c>
    </row>
    <row r="755" spans="1:3">
      <c r="A755" s="27" t="s">
        <v>1581</v>
      </c>
      <c r="B755" s="4" t="s">
        <v>1582</v>
      </c>
      <c r="C755" s="22">
        <v>0.4</v>
      </c>
    </row>
    <row r="756" spans="1:3">
      <c r="A756" s="27" t="s">
        <v>1583</v>
      </c>
      <c r="B756" s="4" t="s">
        <v>1584</v>
      </c>
      <c r="C756" s="22">
        <v>0.4</v>
      </c>
    </row>
    <row r="757" spans="1:3">
      <c r="A757" s="27" t="s">
        <v>1585</v>
      </c>
      <c r="B757" s="4" t="s">
        <v>1586</v>
      </c>
      <c r="C757" s="22">
        <v>0.4</v>
      </c>
    </row>
    <row r="758" spans="1:3">
      <c r="A758" s="27" t="s">
        <v>1587</v>
      </c>
      <c r="B758" s="4" t="s">
        <v>1588</v>
      </c>
      <c r="C758" s="22">
        <v>0.4</v>
      </c>
    </row>
    <row r="759" spans="1:3">
      <c r="A759" s="27" t="s">
        <v>1589</v>
      </c>
      <c r="B759" s="4" t="s">
        <v>1590</v>
      </c>
      <c r="C759" s="22">
        <v>0.4</v>
      </c>
    </row>
    <row r="760" spans="1:3">
      <c r="A760" s="27" t="s">
        <v>1591</v>
      </c>
      <c r="B760" s="4" t="s">
        <v>1592</v>
      </c>
      <c r="C760" s="22">
        <v>0.4</v>
      </c>
    </row>
    <row r="761" spans="1:3">
      <c r="A761" s="27" t="s">
        <v>1593</v>
      </c>
      <c r="B761" s="4" t="s">
        <v>1594</v>
      </c>
      <c r="C761" s="22">
        <v>0.4</v>
      </c>
    </row>
    <row r="762" spans="1:3">
      <c r="A762" s="27" t="s">
        <v>1595</v>
      </c>
      <c r="B762" s="4" t="s">
        <v>1596</v>
      </c>
      <c r="C762" s="22">
        <v>0.4</v>
      </c>
    </row>
    <row r="763" spans="1:3">
      <c r="A763" s="27" t="s">
        <v>1597</v>
      </c>
      <c r="B763" s="4" t="s">
        <v>1598</v>
      </c>
      <c r="C763" s="22">
        <v>0.4</v>
      </c>
    </row>
    <row r="764" spans="1:3">
      <c r="A764" s="27" t="s">
        <v>1599</v>
      </c>
      <c r="B764" s="4" t="s">
        <v>1600</v>
      </c>
      <c r="C764" s="22">
        <v>0.4</v>
      </c>
    </row>
    <row r="765" spans="1:3">
      <c r="A765" s="27" t="s">
        <v>1601</v>
      </c>
      <c r="B765" s="4" t="s">
        <v>1602</v>
      </c>
      <c r="C765" s="22">
        <v>0.4</v>
      </c>
    </row>
    <row r="766" spans="1:3">
      <c r="A766" s="27" t="s">
        <v>1603</v>
      </c>
      <c r="B766" s="4" t="s">
        <v>1604</v>
      </c>
      <c r="C766" s="22">
        <v>0.4</v>
      </c>
    </row>
    <row r="767" spans="1:3">
      <c r="A767" s="27" t="s">
        <v>1605</v>
      </c>
      <c r="B767" s="4" t="s">
        <v>1606</v>
      </c>
      <c r="C767" s="22">
        <v>0.4</v>
      </c>
    </row>
    <row r="768" spans="1:3">
      <c r="A768" s="27" t="s">
        <v>1607</v>
      </c>
      <c r="B768" s="4" t="s">
        <v>1608</v>
      </c>
      <c r="C768" s="22">
        <v>0.4</v>
      </c>
    </row>
    <row r="769" spans="1:3">
      <c r="A769" s="27" t="s">
        <v>1609</v>
      </c>
      <c r="B769" s="4" t="s">
        <v>1610</v>
      </c>
      <c r="C769" s="22">
        <v>0.4</v>
      </c>
    </row>
    <row r="770" spans="1:3">
      <c r="A770" s="27" t="s">
        <v>1611</v>
      </c>
      <c r="B770" s="4" t="s">
        <v>1612</v>
      </c>
      <c r="C770" s="22">
        <v>0.4</v>
      </c>
    </row>
    <row r="771" spans="1:3">
      <c r="A771" s="27" t="s">
        <v>1613</v>
      </c>
      <c r="B771" s="4" t="s">
        <v>1614</v>
      </c>
      <c r="C771" s="22">
        <v>0.4</v>
      </c>
    </row>
    <row r="772" spans="1:3">
      <c r="A772" s="27" t="s">
        <v>1615</v>
      </c>
      <c r="B772" s="4" t="s">
        <v>1616</v>
      </c>
      <c r="C772" s="22">
        <v>0.4</v>
      </c>
    </row>
    <row r="773" spans="1:3">
      <c r="A773" s="27" t="s">
        <v>1617</v>
      </c>
      <c r="B773" s="4" t="s">
        <v>1618</v>
      </c>
      <c r="C773" s="22">
        <v>0.4</v>
      </c>
    </row>
    <row r="774" spans="1:3">
      <c r="A774" s="27" t="s">
        <v>1619</v>
      </c>
      <c r="B774" s="4" t="s">
        <v>1620</v>
      </c>
      <c r="C774" s="22">
        <v>0.4</v>
      </c>
    </row>
    <row r="775" spans="1:3">
      <c r="A775" s="27" t="s">
        <v>1621</v>
      </c>
      <c r="B775" s="4" t="s">
        <v>1622</v>
      </c>
      <c r="C775" s="22">
        <v>0.4</v>
      </c>
    </row>
    <row r="776" spans="1:3">
      <c r="A776" s="27" t="s">
        <v>1623</v>
      </c>
      <c r="B776" s="4" t="s">
        <v>1624</v>
      </c>
      <c r="C776" s="22">
        <v>0.4</v>
      </c>
    </row>
    <row r="777" spans="1:3">
      <c r="A777" s="27" t="s">
        <v>1625</v>
      </c>
      <c r="B777" s="4" t="s">
        <v>1626</v>
      </c>
      <c r="C777" s="22">
        <v>0.4</v>
      </c>
    </row>
    <row r="778" spans="1:3">
      <c r="A778" s="27" t="s">
        <v>1627</v>
      </c>
      <c r="B778" s="4" t="s">
        <v>1628</v>
      </c>
      <c r="C778" s="22">
        <v>0.4</v>
      </c>
    </row>
    <row r="779" spans="1:3">
      <c r="A779" s="27" t="s">
        <v>1629</v>
      </c>
      <c r="B779" s="4" t="s">
        <v>1630</v>
      </c>
      <c r="C779" s="22">
        <v>0.4</v>
      </c>
    </row>
    <row r="780" spans="1:3">
      <c r="A780" s="27" t="s">
        <v>1631</v>
      </c>
      <c r="B780" s="4" t="s">
        <v>1632</v>
      </c>
      <c r="C780" s="22">
        <v>0.4</v>
      </c>
    </row>
    <row r="781" spans="1:3">
      <c r="A781" s="27" t="s">
        <v>1633</v>
      </c>
      <c r="B781" s="4" t="s">
        <v>1634</v>
      </c>
      <c r="C781" s="22">
        <v>0.4</v>
      </c>
    </row>
    <row r="782" spans="1:3">
      <c r="A782" s="27" t="s">
        <v>1635</v>
      </c>
      <c r="B782" s="4" t="s">
        <v>1636</v>
      </c>
      <c r="C782" s="22">
        <v>0.4</v>
      </c>
    </row>
    <row r="783" spans="1:3">
      <c r="A783" s="27" t="s">
        <v>1637</v>
      </c>
      <c r="B783" s="4" t="s">
        <v>1638</v>
      </c>
      <c r="C783" s="22">
        <v>0.4</v>
      </c>
    </row>
    <row r="784" spans="1:3">
      <c r="A784" s="27" t="s">
        <v>1639</v>
      </c>
      <c r="B784" s="4" t="s">
        <v>1640</v>
      </c>
      <c r="C784" s="22">
        <v>0.4</v>
      </c>
    </row>
    <row r="785" spans="1:3">
      <c r="A785" s="27" t="s">
        <v>1641</v>
      </c>
      <c r="B785" s="4" t="s">
        <v>1642</v>
      </c>
      <c r="C785" s="22">
        <v>0.4</v>
      </c>
    </row>
    <row r="786" spans="1:3">
      <c r="A786" s="27" t="s">
        <v>1643</v>
      </c>
      <c r="B786" s="4" t="s">
        <v>1644</v>
      </c>
      <c r="C786" s="22">
        <v>0.4</v>
      </c>
    </row>
    <row r="787" spans="1:3">
      <c r="A787" s="27" t="s">
        <v>1645</v>
      </c>
      <c r="B787" s="4" t="s">
        <v>1646</v>
      </c>
      <c r="C787" s="22">
        <v>0.4</v>
      </c>
    </row>
    <row r="788" spans="1:3">
      <c r="A788" s="27" t="s">
        <v>1647</v>
      </c>
      <c r="B788" s="4" t="s">
        <v>1648</v>
      </c>
      <c r="C788" s="22">
        <v>0.4</v>
      </c>
    </row>
    <row r="789" spans="1:3">
      <c r="A789" s="27" t="s">
        <v>1649</v>
      </c>
      <c r="B789" s="4" t="s">
        <v>1650</v>
      </c>
      <c r="C789" s="22">
        <v>0.4</v>
      </c>
    </row>
    <row r="790" spans="1:3">
      <c r="A790" s="27" t="s">
        <v>1651</v>
      </c>
      <c r="B790" s="4" t="s">
        <v>1652</v>
      </c>
      <c r="C790" s="22">
        <v>0.4</v>
      </c>
    </row>
    <row r="791" spans="1:3">
      <c r="A791" s="27" t="s">
        <v>1653</v>
      </c>
      <c r="B791" s="4" t="s">
        <v>1654</v>
      </c>
      <c r="C791" s="22">
        <v>0.4</v>
      </c>
    </row>
    <row r="792" spans="1:3">
      <c r="A792" s="27" t="s">
        <v>1655</v>
      </c>
      <c r="B792" s="4" t="s">
        <v>1656</v>
      </c>
      <c r="C792" s="22">
        <v>0.4</v>
      </c>
    </row>
    <row r="793" spans="1:3">
      <c r="A793" s="27" t="s">
        <v>1657</v>
      </c>
      <c r="B793" s="4" t="s">
        <v>1658</v>
      </c>
      <c r="C793" s="22">
        <v>0.4</v>
      </c>
    </row>
    <row r="794" spans="1:3">
      <c r="A794" s="27" t="s">
        <v>1659</v>
      </c>
      <c r="B794" s="4" t="s">
        <v>1660</v>
      </c>
      <c r="C794" s="22">
        <v>0.4</v>
      </c>
    </row>
    <row r="795" spans="1:3">
      <c r="A795" s="27" t="s">
        <v>1661</v>
      </c>
      <c r="B795" s="4" t="s">
        <v>1662</v>
      </c>
      <c r="C795" s="22">
        <v>0.4</v>
      </c>
    </row>
    <row r="796" spans="1:3">
      <c r="A796" s="27" t="s">
        <v>1663</v>
      </c>
      <c r="B796" s="4" t="s">
        <v>1664</v>
      </c>
      <c r="C796" s="22">
        <v>0.4</v>
      </c>
    </row>
    <row r="797" spans="1:3">
      <c r="A797" s="27" t="s">
        <v>1665</v>
      </c>
      <c r="B797" s="4" t="s">
        <v>1666</v>
      </c>
      <c r="C797" s="22">
        <v>0.4</v>
      </c>
    </row>
    <row r="798" spans="1:3">
      <c r="A798" s="27" t="s">
        <v>1667</v>
      </c>
      <c r="B798" s="4" t="s">
        <v>1668</v>
      </c>
      <c r="C798" s="22">
        <v>0.4</v>
      </c>
    </row>
    <row r="799" spans="1:3">
      <c r="A799" s="27" t="s">
        <v>1669</v>
      </c>
      <c r="B799" s="4" t="s">
        <v>1670</v>
      </c>
      <c r="C799" s="22">
        <v>0.4</v>
      </c>
    </row>
    <row r="800" spans="1:3">
      <c r="A800" s="27" t="s">
        <v>1671</v>
      </c>
      <c r="B800" s="4" t="s">
        <v>1672</v>
      </c>
      <c r="C800" s="22">
        <v>0.4</v>
      </c>
    </row>
    <row r="801" spans="1:3">
      <c r="A801" s="27" t="s">
        <v>1673</v>
      </c>
      <c r="B801" s="4" t="s">
        <v>1674</v>
      </c>
      <c r="C801" s="22">
        <v>0.4</v>
      </c>
    </row>
    <row r="802" spans="1:3">
      <c r="A802" s="27" t="s">
        <v>1675</v>
      </c>
      <c r="B802" s="4" t="s">
        <v>1676</v>
      </c>
      <c r="C802" s="22">
        <v>0.4</v>
      </c>
    </row>
    <row r="803" spans="1:3">
      <c r="A803" s="27" t="s">
        <v>1677</v>
      </c>
      <c r="B803" s="4" t="s">
        <v>1678</v>
      </c>
      <c r="C803" s="22">
        <v>0.4</v>
      </c>
    </row>
    <row r="804" spans="1:3">
      <c r="A804" s="27" t="s">
        <v>1679</v>
      </c>
      <c r="B804" s="4" t="s">
        <v>1680</v>
      </c>
      <c r="C804" s="22">
        <v>0.4</v>
      </c>
    </row>
    <row r="805" spans="1:3">
      <c r="A805" s="27" t="s">
        <v>1681</v>
      </c>
      <c r="B805" s="4" t="s">
        <v>1682</v>
      </c>
      <c r="C805" s="22">
        <v>0.4</v>
      </c>
    </row>
    <row r="806" spans="1:3">
      <c r="A806" s="27" t="s">
        <v>1683</v>
      </c>
      <c r="B806" s="4" t="s">
        <v>1684</v>
      </c>
      <c r="C806" s="22">
        <v>0.4</v>
      </c>
    </row>
    <row r="807" spans="1:3">
      <c r="A807" s="27" t="s">
        <v>1685</v>
      </c>
      <c r="B807" s="4" t="s">
        <v>1686</v>
      </c>
      <c r="C807" s="22">
        <v>0.4</v>
      </c>
    </row>
    <row r="808" spans="1:3">
      <c r="A808" s="27" t="s">
        <v>1687</v>
      </c>
      <c r="B808" s="4" t="s">
        <v>1688</v>
      </c>
      <c r="C808" s="22">
        <v>0.4</v>
      </c>
    </row>
    <row r="809" spans="1:3">
      <c r="A809" s="27" t="s">
        <v>1689</v>
      </c>
      <c r="B809" s="4" t="s">
        <v>1690</v>
      </c>
      <c r="C809" s="22">
        <v>0.4</v>
      </c>
    </row>
    <row r="810" spans="1:3">
      <c r="A810" s="27" t="s">
        <v>1691</v>
      </c>
      <c r="B810" s="4" t="s">
        <v>1692</v>
      </c>
      <c r="C810" s="22">
        <v>0.4</v>
      </c>
    </row>
    <row r="811" spans="1:3">
      <c r="A811" s="27" t="s">
        <v>1693</v>
      </c>
      <c r="B811" s="4" t="s">
        <v>1694</v>
      </c>
      <c r="C811" s="22">
        <v>0.4</v>
      </c>
    </row>
    <row r="812" spans="1:3">
      <c r="A812" s="27" t="s">
        <v>1695</v>
      </c>
      <c r="B812" s="4" t="s">
        <v>1696</v>
      </c>
      <c r="C812" s="22">
        <v>0.4</v>
      </c>
    </row>
    <row r="813" spans="1:3">
      <c r="A813" s="27" t="s">
        <v>1697</v>
      </c>
      <c r="B813" s="4" t="s">
        <v>1698</v>
      </c>
      <c r="C813" s="22">
        <v>0.4</v>
      </c>
    </row>
    <row r="814" spans="1:3">
      <c r="A814" s="27" t="s">
        <v>1699</v>
      </c>
      <c r="B814" s="4" t="s">
        <v>1700</v>
      </c>
      <c r="C814" s="22">
        <v>0.4</v>
      </c>
    </row>
    <row r="815" spans="1:3">
      <c r="A815" s="27" t="s">
        <v>1701</v>
      </c>
      <c r="B815" s="4" t="s">
        <v>1702</v>
      </c>
      <c r="C815" s="22">
        <v>0.4</v>
      </c>
    </row>
    <row r="816" spans="1:3">
      <c r="A816" s="27" t="s">
        <v>1703</v>
      </c>
      <c r="B816" s="4" t="s">
        <v>1704</v>
      </c>
      <c r="C816" s="22">
        <v>0.4</v>
      </c>
    </row>
    <row r="817" spans="1:3">
      <c r="A817" s="27" t="s">
        <v>1705</v>
      </c>
      <c r="B817" s="4" t="s">
        <v>1706</v>
      </c>
      <c r="C817" s="22">
        <v>0.4</v>
      </c>
    </row>
    <row r="818" spans="1:3">
      <c r="A818" s="27" t="s">
        <v>1707</v>
      </c>
      <c r="B818" s="4" t="s">
        <v>1708</v>
      </c>
      <c r="C818" s="22">
        <v>0.4</v>
      </c>
    </row>
    <row r="819" spans="1:3">
      <c r="A819" s="27" t="s">
        <v>1709</v>
      </c>
      <c r="B819" s="4" t="s">
        <v>1710</v>
      </c>
      <c r="C819" s="22">
        <v>0.4</v>
      </c>
    </row>
    <row r="820" spans="1:3">
      <c r="A820" s="27" t="s">
        <v>1711</v>
      </c>
      <c r="B820" s="4" t="s">
        <v>1712</v>
      </c>
      <c r="C820" s="22">
        <v>0.4</v>
      </c>
    </row>
    <row r="821" spans="1:3">
      <c r="A821" s="27" t="s">
        <v>1713</v>
      </c>
      <c r="B821" s="4" t="s">
        <v>1714</v>
      </c>
      <c r="C821" s="22">
        <v>0.4</v>
      </c>
    </row>
    <row r="822" spans="1:3">
      <c r="A822" s="27" t="s">
        <v>1715</v>
      </c>
      <c r="B822" s="4" t="s">
        <v>1716</v>
      </c>
      <c r="C822" s="22">
        <v>0.4</v>
      </c>
    </row>
    <row r="823" spans="1:3">
      <c r="A823" s="27" t="s">
        <v>1717</v>
      </c>
      <c r="B823" s="4" t="s">
        <v>1718</v>
      </c>
      <c r="C823" s="22">
        <v>0.4</v>
      </c>
    </row>
    <row r="824" spans="1:3">
      <c r="A824" s="27" t="s">
        <v>1719</v>
      </c>
      <c r="B824" s="4" t="s">
        <v>1720</v>
      </c>
      <c r="C824" s="22">
        <v>0.4</v>
      </c>
    </row>
    <row r="825" spans="1:3">
      <c r="A825" s="27" t="s">
        <v>1721</v>
      </c>
      <c r="B825" s="4" t="s">
        <v>1722</v>
      </c>
      <c r="C825" s="22">
        <v>0.4</v>
      </c>
    </row>
    <row r="826" spans="1:3">
      <c r="A826" s="27" t="s">
        <v>1723</v>
      </c>
      <c r="B826" s="4" t="s">
        <v>1724</v>
      </c>
      <c r="C826" s="22">
        <v>0.54</v>
      </c>
    </row>
    <row r="827" spans="1:3">
      <c r="A827" s="27" t="s">
        <v>1725</v>
      </c>
      <c r="B827" s="4" t="s">
        <v>1726</v>
      </c>
      <c r="C827" s="22">
        <v>0.54</v>
      </c>
    </row>
    <row r="828" spans="1:3">
      <c r="A828" s="27" t="s">
        <v>1727</v>
      </c>
      <c r="B828" s="4" t="s">
        <v>1728</v>
      </c>
      <c r="C828" s="22">
        <v>0.54</v>
      </c>
    </row>
    <row r="829" spans="1:3">
      <c r="A829" s="27" t="s">
        <v>1729</v>
      </c>
      <c r="B829" s="4" t="s">
        <v>1730</v>
      </c>
      <c r="C829" s="22">
        <v>0.54</v>
      </c>
    </row>
    <row r="830" spans="1:3">
      <c r="A830" s="27" t="s">
        <v>1731</v>
      </c>
      <c r="B830" s="4" t="s">
        <v>1732</v>
      </c>
      <c r="C830" s="22">
        <v>0.54</v>
      </c>
    </row>
    <row r="831" spans="1:3">
      <c r="A831" s="27" t="s">
        <v>1733</v>
      </c>
      <c r="B831" s="4" t="s">
        <v>1734</v>
      </c>
      <c r="C831" s="22">
        <v>0.54</v>
      </c>
    </row>
    <row r="832" spans="1:3">
      <c r="A832" s="27" t="s">
        <v>1735</v>
      </c>
      <c r="B832" s="4" t="s">
        <v>1736</v>
      </c>
      <c r="C832" s="22">
        <v>0.54</v>
      </c>
    </row>
    <row r="833" spans="1:3">
      <c r="A833" s="27" t="s">
        <v>1737</v>
      </c>
      <c r="B833" s="4" t="s">
        <v>1738</v>
      </c>
      <c r="C833" s="22">
        <v>0.54</v>
      </c>
    </row>
    <row r="834" spans="1:3">
      <c r="A834" s="27" t="s">
        <v>1739</v>
      </c>
      <c r="B834" s="4" t="s">
        <v>1740</v>
      </c>
      <c r="C834" s="22">
        <v>0.4</v>
      </c>
    </row>
    <row r="835" spans="1:3">
      <c r="A835" s="27" t="s">
        <v>1741</v>
      </c>
      <c r="B835" s="4" t="s">
        <v>1742</v>
      </c>
      <c r="C835" s="22">
        <v>0.4</v>
      </c>
    </row>
    <row r="836" spans="1:3">
      <c r="A836" s="27" t="s">
        <v>1743</v>
      </c>
      <c r="B836" s="4" t="s">
        <v>1744</v>
      </c>
      <c r="C836" s="22">
        <v>0.4</v>
      </c>
    </row>
    <row r="837" spans="1:3">
      <c r="A837" s="27" t="s">
        <v>1745</v>
      </c>
      <c r="B837" s="4" t="s">
        <v>1746</v>
      </c>
      <c r="C837" s="22">
        <v>0.4</v>
      </c>
    </row>
    <row r="838" spans="1:3">
      <c r="A838" s="27" t="s">
        <v>1747</v>
      </c>
      <c r="B838" s="4" t="s">
        <v>1748</v>
      </c>
      <c r="C838" s="22">
        <v>0.4</v>
      </c>
    </row>
    <row r="839" spans="1:3">
      <c r="A839" s="27" t="s">
        <v>1749</v>
      </c>
      <c r="B839" s="4" t="s">
        <v>1748</v>
      </c>
      <c r="C839" s="22">
        <v>0.67</v>
      </c>
    </row>
    <row r="840" spans="1:3">
      <c r="A840" s="27" t="s">
        <v>1750</v>
      </c>
      <c r="B840" s="4" t="s">
        <v>1748</v>
      </c>
      <c r="C840" s="22">
        <v>0.67</v>
      </c>
    </row>
    <row r="841" spans="1:3">
      <c r="A841" s="27" t="s">
        <v>1751</v>
      </c>
      <c r="B841" s="4" t="s">
        <v>1752</v>
      </c>
      <c r="C841" s="22">
        <v>0.67</v>
      </c>
    </row>
    <row r="842" spans="1:3">
      <c r="A842" s="27" t="s">
        <v>1753</v>
      </c>
      <c r="B842" s="4" t="s">
        <v>1754</v>
      </c>
      <c r="C842" s="22">
        <v>0.67</v>
      </c>
    </row>
    <row r="843" spans="1:3">
      <c r="A843" s="27" t="s">
        <v>1755</v>
      </c>
      <c r="B843" s="4" t="s">
        <v>1756</v>
      </c>
      <c r="C843" s="22">
        <v>0.67</v>
      </c>
    </row>
    <row r="844" spans="1:3">
      <c r="A844" s="27" t="s">
        <v>1757</v>
      </c>
      <c r="B844" s="4" t="s">
        <v>1758</v>
      </c>
      <c r="C844" s="22">
        <v>0.67</v>
      </c>
    </row>
    <row r="845" spans="1:3">
      <c r="A845" s="27" t="s">
        <v>1759</v>
      </c>
      <c r="B845" s="4" t="s">
        <v>1760</v>
      </c>
      <c r="C845" s="22">
        <v>0.67</v>
      </c>
    </row>
    <row r="846" spans="1:3">
      <c r="A846" s="27" t="s">
        <v>1761</v>
      </c>
      <c r="B846" s="4" t="s">
        <v>1762</v>
      </c>
      <c r="C846" s="22">
        <v>0.67</v>
      </c>
    </row>
    <row r="847" spans="1:3">
      <c r="A847" s="27" t="s">
        <v>1763</v>
      </c>
      <c r="B847" s="4" t="s">
        <v>1764</v>
      </c>
      <c r="C847" s="22">
        <v>0.67</v>
      </c>
    </row>
    <row r="848" spans="1:3">
      <c r="A848" s="27" t="s">
        <v>1765</v>
      </c>
      <c r="B848" s="4" t="s">
        <v>1766</v>
      </c>
      <c r="C848" s="22">
        <v>0.67</v>
      </c>
    </row>
    <row r="849" spans="1:3">
      <c r="A849" s="27" t="s">
        <v>1767</v>
      </c>
      <c r="B849" s="4" t="s">
        <v>1768</v>
      </c>
      <c r="C849" s="22">
        <v>0.67</v>
      </c>
    </row>
    <row r="850" spans="1:3">
      <c r="A850" s="27" t="s">
        <v>1769</v>
      </c>
      <c r="B850" s="4" t="s">
        <v>1770</v>
      </c>
      <c r="C850" s="22">
        <v>0.67</v>
      </c>
    </row>
    <row r="851" spans="1:3">
      <c r="A851" s="27" t="s">
        <v>1771</v>
      </c>
      <c r="B851" s="4" t="s">
        <v>1772</v>
      </c>
      <c r="C851" s="22">
        <v>0.67</v>
      </c>
    </row>
    <row r="852" spans="1:3">
      <c r="A852" s="27" t="s">
        <v>1773</v>
      </c>
      <c r="B852" s="4" t="s">
        <v>1774</v>
      </c>
      <c r="C852" s="22">
        <v>0.67</v>
      </c>
    </row>
    <row r="853" spans="1:3">
      <c r="A853" s="27" t="s">
        <v>1775</v>
      </c>
      <c r="B853" s="4" t="s">
        <v>1776</v>
      </c>
      <c r="C853" s="22">
        <v>0.67</v>
      </c>
    </row>
    <row r="854" spans="1:3">
      <c r="A854" s="27" t="s">
        <v>1777</v>
      </c>
      <c r="B854" s="4" t="s">
        <v>1778</v>
      </c>
      <c r="C854" s="22">
        <v>0.67</v>
      </c>
    </row>
    <row r="855" spans="1:3">
      <c r="A855" s="27" t="s">
        <v>1779</v>
      </c>
      <c r="B855" s="4" t="s">
        <v>1780</v>
      </c>
      <c r="C855" s="22">
        <v>0.67</v>
      </c>
    </row>
    <row r="856" spans="1:3">
      <c r="A856" s="27" t="s">
        <v>1781</v>
      </c>
      <c r="B856" s="4" t="s">
        <v>1782</v>
      </c>
      <c r="C856" s="22">
        <v>0.67</v>
      </c>
    </row>
    <row r="857" spans="1:3">
      <c r="A857" s="27" t="s">
        <v>1783</v>
      </c>
      <c r="B857" s="4" t="s">
        <v>1784</v>
      </c>
      <c r="C857" s="22">
        <v>0.67</v>
      </c>
    </row>
    <row r="858" spans="1:3">
      <c r="A858" s="27" t="s">
        <v>1785</v>
      </c>
      <c r="B858" s="4" t="s">
        <v>1786</v>
      </c>
      <c r="C858" s="22">
        <v>0.67</v>
      </c>
    </row>
    <row r="859" spans="1:3">
      <c r="A859" s="27" t="s">
        <v>1787</v>
      </c>
      <c r="B859" s="4" t="s">
        <v>1788</v>
      </c>
      <c r="C859" s="22">
        <v>0.67</v>
      </c>
    </row>
    <row r="860" spans="1:3">
      <c r="A860" s="27" t="s">
        <v>1789</v>
      </c>
      <c r="B860" s="4" t="s">
        <v>1790</v>
      </c>
      <c r="C860" s="22">
        <v>0.67</v>
      </c>
    </row>
    <row r="861" spans="1:3">
      <c r="A861" s="27" t="s">
        <v>1791</v>
      </c>
      <c r="B861" s="4" t="s">
        <v>1792</v>
      </c>
      <c r="C861" s="22">
        <v>0.67</v>
      </c>
    </row>
    <row r="862" spans="1:3">
      <c r="A862" s="27" t="s">
        <v>1793</v>
      </c>
      <c r="B862" s="4" t="s">
        <v>1794</v>
      </c>
      <c r="C862" s="22">
        <v>0.67</v>
      </c>
    </row>
    <row r="863" spans="1:3">
      <c r="A863" s="27" t="s">
        <v>1795</v>
      </c>
      <c r="B863" s="4" t="s">
        <v>1796</v>
      </c>
      <c r="C863" s="22">
        <v>0.67</v>
      </c>
    </row>
    <row r="864" spans="1:3">
      <c r="A864" s="27" t="s">
        <v>1797</v>
      </c>
      <c r="B864" s="4" t="s">
        <v>1798</v>
      </c>
      <c r="C864" s="22">
        <v>0.67</v>
      </c>
    </row>
    <row r="865" spans="1:3">
      <c r="A865" s="27" t="s">
        <v>1799</v>
      </c>
      <c r="B865" s="4" t="s">
        <v>1800</v>
      </c>
      <c r="C865" s="22">
        <v>0.67</v>
      </c>
    </row>
    <row r="866" spans="1:3">
      <c r="A866" s="27" t="s">
        <v>1801</v>
      </c>
      <c r="B866" s="4" t="s">
        <v>1802</v>
      </c>
      <c r="C866" s="22">
        <v>0.67</v>
      </c>
    </row>
    <row r="867" spans="1:3">
      <c r="A867" s="27" t="s">
        <v>1803</v>
      </c>
      <c r="B867" s="4" t="s">
        <v>1804</v>
      </c>
      <c r="C867" s="22">
        <v>0.67</v>
      </c>
    </row>
    <row r="868" spans="1:3">
      <c r="A868" s="27" t="s">
        <v>1805</v>
      </c>
      <c r="B868" s="4" t="s">
        <v>1806</v>
      </c>
      <c r="C868" s="22">
        <v>0.67</v>
      </c>
    </row>
    <row r="869" spans="1:3">
      <c r="A869" s="27" t="s">
        <v>1807</v>
      </c>
      <c r="B869" s="4" t="s">
        <v>1808</v>
      </c>
      <c r="C869" s="22">
        <v>0.67</v>
      </c>
    </row>
    <row r="870" spans="1:3">
      <c r="A870" s="27" t="s">
        <v>1809</v>
      </c>
      <c r="B870" s="4" t="s">
        <v>1810</v>
      </c>
      <c r="C870" s="22">
        <v>0.67</v>
      </c>
    </row>
    <row r="871" spans="1:3">
      <c r="A871" s="27" t="s">
        <v>1811</v>
      </c>
      <c r="B871" s="4" t="s">
        <v>1812</v>
      </c>
      <c r="C871" s="22">
        <v>0.67</v>
      </c>
    </row>
    <row r="872" spans="1:3">
      <c r="A872" s="27" t="s">
        <v>1813</v>
      </c>
      <c r="B872" s="4" t="s">
        <v>1814</v>
      </c>
      <c r="C872" s="22">
        <v>0.67</v>
      </c>
    </row>
    <row r="873" spans="1:3">
      <c r="A873" s="27" t="s">
        <v>1815</v>
      </c>
      <c r="B873" s="4" t="s">
        <v>1816</v>
      </c>
      <c r="C873" s="22">
        <v>0.67</v>
      </c>
    </row>
    <row r="874" spans="1:3">
      <c r="A874" s="27" t="s">
        <v>1817</v>
      </c>
      <c r="B874" s="4" t="s">
        <v>1818</v>
      </c>
      <c r="C874" s="22">
        <v>0.67</v>
      </c>
    </row>
    <row r="875" spans="1:3">
      <c r="A875" s="27" t="s">
        <v>1819</v>
      </c>
      <c r="B875" s="4" t="s">
        <v>1820</v>
      </c>
      <c r="C875" s="22">
        <v>0.67</v>
      </c>
    </row>
    <row r="876" spans="1:3">
      <c r="A876" s="27" t="s">
        <v>1821</v>
      </c>
      <c r="B876" s="4" t="s">
        <v>1822</v>
      </c>
      <c r="C876" s="22">
        <v>0.67</v>
      </c>
    </row>
    <row r="877" spans="1:3">
      <c r="A877" s="27" t="s">
        <v>1823</v>
      </c>
      <c r="B877" s="4" t="s">
        <v>1824</v>
      </c>
      <c r="C877" s="22">
        <v>0.67</v>
      </c>
    </row>
    <row r="878" spans="1:3">
      <c r="A878" s="27" t="s">
        <v>1825</v>
      </c>
      <c r="B878" s="4" t="s">
        <v>1826</v>
      </c>
      <c r="C878" s="22">
        <v>0.67</v>
      </c>
    </row>
    <row r="879" spans="1:3">
      <c r="A879" s="27" t="s">
        <v>1827</v>
      </c>
      <c r="B879" s="4" t="s">
        <v>1828</v>
      </c>
      <c r="C879" s="22">
        <v>0.4</v>
      </c>
    </row>
    <row r="880" spans="1:3">
      <c r="A880" s="27" t="s">
        <v>1829</v>
      </c>
      <c r="B880" s="4" t="s">
        <v>1830</v>
      </c>
      <c r="C880" s="22">
        <v>0.4</v>
      </c>
    </row>
    <row r="881" spans="1:3">
      <c r="A881" s="27" t="s">
        <v>1831</v>
      </c>
      <c r="B881" s="4" t="s">
        <v>1832</v>
      </c>
      <c r="C881" s="22">
        <v>0.4</v>
      </c>
    </row>
    <row r="882" spans="1:3">
      <c r="A882" s="27" t="s">
        <v>1833</v>
      </c>
      <c r="B882" s="4" t="s">
        <v>1834</v>
      </c>
      <c r="C882" s="22">
        <v>0.4</v>
      </c>
    </row>
    <row r="883" spans="1:3">
      <c r="A883" s="27" t="s">
        <v>1835</v>
      </c>
      <c r="B883" s="4" t="s">
        <v>1836</v>
      </c>
      <c r="C883" s="22">
        <v>0.4</v>
      </c>
    </row>
    <row r="884" spans="1:3">
      <c r="A884" s="27" t="s">
        <v>1837</v>
      </c>
      <c r="B884" s="4" t="s">
        <v>1838</v>
      </c>
      <c r="C884" s="22">
        <v>0.4</v>
      </c>
    </row>
    <row r="885" spans="1:3">
      <c r="A885" s="27" t="s">
        <v>1839</v>
      </c>
      <c r="B885" s="4" t="s">
        <v>1840</v>
      </c>
      <c r="C885" s="22">
        <v>0.4</v>
      </c>
    </row>
    <row r="886" spans="1:3">
      <c r="A886" s="27" t="s">
        <v>1841</v>
      </c>
      <c r="B886" s="4" t="s">
        <v>1842</v>
      </c>
      <c r="C886" s="22">
        <v>0.4</v>
      </c>
    </row>
    <row r="887" spans="1:3">
      <c r="A887" s="27" t="s">
        <v>1843</v>
      </c>
      <c r="B887" s="4" t="s">
        <v>1844</v>
      </c>
      <c r="C887" s="22">
        <v>0.4</v>
      </c>
    </row>
    <row r="888" spans="1:3">
      <c r="A888" s="27" t="s">
        <v>1845</v>
      </c>
      <c r="B888" s="4" t="s">
        <v>1846</v>
      </c>
      <c r="C888" s="22">
        <v>0.4</v>
      </c>
    </row>
    <row r="889" spans="1:3">
      <c r="A889" s="27" t="s">
        <v>1847</v>
      </c>
      <c r="B889" s="4" t="s">
        <v>1848</v>
      </c>
      <c r="C889" s="22">
        <v>0.4</v>
      </c>
    </row>
    <row r="890" spans="1:3">
      <c r="A890" s="27" t="s">
        <v>1849</v>
      </c>
      <c r="B890" s="4" t="s">
        <v>1850</v>
      </c>
      <c r="C890" s="22">
        <v>0.4</v>
      </c>
    </row>
    <row r="891" spans="1:3">
      <c r="A891" s="27" t="s">
        <v>1851</v>
      </c>
      <c r="B891" s="4" t="s">
        <v>1852</v>
      </c>
      <c r="C891" s="22">
        <v>0.4</v>
      </c>
    </row>
    <row r="892" spans="1:3">
      <c r="A892" s="27" t="s">
        <v>1853</v>
      </c>
      <c r="B892" s="4" t="s">
        <v>1854</v>
      </c>
      <c r="C892" s="22">
        <v>0.4</v>
      </c>
    </row>
    <row r="893" spans="1:3">
      <c r="A893" s="27" t="s">
        <v>1855</v>
      </c>
      <c r="B893" s="4" t="s">
        <v>1856</v>
      </c>
      <c r="C893" s="22">
        <v>0.4</v>
      </c>
    </row>
    <row r="894" spans="1:3">
      <c r="A894" s="27" t="s">
        <v>1857</v>
      </c>
      <c r="B894" s="4" t="s">
        <v>1858</v>
      </c>
      <c r="C894" s="22">
        <v>0.4</v>
      </c>
    </row>
    <row r="895" spans="1:3">
      <c r="A895" s="27" t="s">
        <v>1859</v>
      </c>
      <c r="B895" s="4" t="s">
        <v>1860</v>
      </c>
      <c r="C895" s="22">
        <v>0.4</v>
      </c>
    </row>
    <row r="896" spans="1:3">
      <c r="A896" s="27" t="s">
        <v>1861</v>
      </c>
      <c r="B896" s="4" t="s">
        <v>1862</v>
      </c>
      <c r="C896" s="22">
        <v>0.4</v>
      </c>
    </row>
    <row r="897" spans="1:3">
      <c r="A897" s="27" t="s">
        <v>1863</v>
      </c>
      <c r="B897" s="4" t="s">
        <v>1864</v>
      </c>
      <c r="C897" s="22">
        <v>0.4</v>
      </c>
    </row>
    <row r="898" spans="1:3">
      <c r="A898" s="27" t="s">
        <v>1865</v>
      </c>
      <c r="B898" s="4" t="s">
        <v>1866</v>
      </c>
      <c r="C898" s="22">
        <v>0.4</v>
      </c>
    </row>
    <row r="899" spans="1:3">
      <c r="A899" s="27" t="s">
        <v>1867</v>
      </c>
      <c r="B899" s="4" t="s">
        <v>1868</v>
      </c>
      <c r="C899" s="22">
        <v>0.4</v>
      </c>
    </row>
    <row r="900" spans="1:3">
      <c r="A900" s="27" t="s">
        <v>1869</v>
      </c>
      <c r="B900" s="4" t="s">
        <v>1870</v>
      </c>
      <c r="C900" s="22">
        <v>0.4</v>
      </c>
    </row>
    <row r="901" spans="1:3">
      <c r="A901" s="27" t="s">
        <v>1871</v>
      </c>
      <c r="B901" s="4" t="s">
        <v>1872</v>
      </c>
      <c r="C901" s="22">
        <v>0.4</v>
      </c>
    </row>
    <row r="902" spans="1:3">
      <c r="A902" s="27" t="s">
        <v>1873</v>
      </c>
      <c r="B902" s="4" t="s">
        <v>1874</v>
      </c>
      <c r="C902" s="22">
        <v>0.67</v>
      </c>
    </row>
    <row r="903" spans="1:3">
      <c r="A903" s="27" t="s">
        <v>1875</v>
      </c>
      <c r="B903" s="4" t="s">
        <v>1872</v>
      </c>
      <c r="C903" s="22">
        <v>0.67</v>
      </c>
    </row>
    <row r="904" spans="1:3">
      <c r="A904" s="27" t="s">
        <v>1876</v>
      </c>
      <c r="B904" s="4" t="s">
        <v>1872</v>
      </c>
      <c r="C904" s="22">
        <v>0.67</v>
      </c>
    </row>
    <row r="905" spans="1:3">
      <c r="A905" s="27" t="s">
        <v>1877</v>
      </c>
      <c r="B905" s="4" t="s">
        <v>1878</v>
      </c>
      <c r="C905" s="22">
        <v>0.67</v>
      </c>
    </row>
    <row r="906" spans="1:3">
      <c r="A906" s="27" t="s">
        <v>1879</v>
      </c>
      <c r="B906" s="4" t="s">
        <v>1880</v>
      </c>
      <c r="C906" s="22">
        <v>0.67</v>
      </c>
    </row>
    <row r="907" spans="1:3">
      <c r="A907" s="27" t="s">
        <v>1881</v>
      </c>
      <c r="B907" s="4" t="s">
        <v>1882</v>
      </c>
      <c r="C907" s="22">
        <v>0.67</v>
      </c>
    </row>
    <row r="908" spans="1:3">
      <c r="A908" s="27" t="s">
        <v>1883</v>
      </c>
      <c r="B908" s="4" t="s">
        <v>1884</v>
      </c>
      <c r="C908" s="22">
        <v>0.67</v>
      </c>
    </row>
    <row r="909" spans="1:3">
      <c r="A909" s="27" t="s">
        <v>1885</v>
      </c>
      <c r="B909" s="4" t="s">
        <v>1886</v>
      </c>
      <c r="C909" s="22">
        <v>0.67</v>
      </c>
    </row>
    <row r="910" spans="1:3">
      <c r="A910" s="27" t="s">
        <v>1887</v>
      </c>
      <c r="B910" s="4" t="s">
        <v>1888</v>
      </c>
      <c r="C910" s="22">
        <v>0.67</v>
      </c>
    </row>
    <row r="911" spans="1:3">
      <c r="A911" s="27" t="s">
        <v>1889</v>
      </c>
      <c r="B911" s="4" t="s">
        <v>1890</v>
      </c>
      <c r="C911" s="22">
        <v>0.67</v>
      </c>
    </row>
    <row r="912" spans="1:3">
      <c r="A912" s="27" t="s">
        <v>1891</v>
      </c>
      <c r="B912" s="4" t="s">
        <v>1892</v>
      </c>
      <c r="C912" s="22">
        <v>0.67</v>
      </c>
    </row>
    <row r="913" spans="1:3">
      <c r="A913" s="27" t="s">
        <v>1893</v>
      </c>
      <c r="B913" s="4" t="s">
        <v>1894</v>
      </c>
      <c r="C913" s="22">
        <v>0.67</v>
      </c>
    </row>
    <row r="914" spans="1:3">
      <c r="A914" s="27" t="s">
        <v>1895</v>
      </c>
      <c r="B914" s="4" t="s">
        <v>1896</v>
      </c>
      <c r="C914" s="22">
        <v>0.67</v>
      </c>
    </row>
    <row r="915" spans="1:3">
      <c r="A915" s="27" t="s">
        <v>1897</v>
      </c>
      <c r="B915" s="4" t="s">
        <v>1898</v>
      </c>
      <c r="C915" s="22">
        <v>0.67</v>
      </c>
    </row>
    <row r="916" spans="1:3">
      <c r="A916" s="27" t="s">
        <v>1899</v>
      </c>
      <c r="B916" s="4" t="s">
        <v>1900</v>
      </c>
      <c r="C916" s="22">
        <v>0.67</v>
      </c>
    </row>
    <row r="917" spans="1:3">
      <c r="A917" s="27" t="s">
        <v>1901</v>
      </c>
      <c r="B917" s="4" t="s">
        <v>1902</v>
      </c>
      <c r="C917" s="22">
        <v>0.67</v>
      </c>
    </row>
    <row r="918" spans="1:3">
      <c r="A918" s="27" t="s">
        <v>1903</v>
      </c>
      <c r="B918" s="4" t="s">
        <v>1904</v>
      </c>
      <c r="C918" s="22">
        <v>0.67</v>
      </c>
    </row>
    <row r="919" spans="1:3">
      <c r="A919" s="27" t="s">
        <v>1905</v>
      </c>
      <c r="B919" s="4" t="s">
        <v>1906</v>
      </c>
      <c r="C919" s="22">
        <v>0.67</v>
      </c>
    </row>
    <row r="920" spans="1:3">
      <c r="A920" s="27" t="s">
        <v>1907</v>
      </c>
      <c r="B920" s="4" t="s">
        <v>1908</v>
      </c>
      <c r="C920" s="22">
        <v>0.67</v>
      </c>
    </row>
    <row r="921" spans="1:3">
      <c r="A921" s="27" t="s">
        <v>1909</v>
      </c>
      <c r="B921" s="4" t="s">
        <v>1910</v>
      </c>
      <c r="C921" s="22">
        <v>0.67</v>
      </c>
    </row>
    <row r="922" spans="1:3">
      <c r="A922" s="27" t="s">
        <v>1911</v>
      </c>
      <c r="B922" s="4" t="s">
        <v>1912</v>
      </c>
      <c r="C922" s="22">
        <v>0.67</v>
      </c>
    </row>
    <row r="923" spans="1:3">
      <c r="A923" s="27" t="s">
        <v>1913</v>
      </c>
      <c r="B923" s="4" t="s">
        <v>1914</v>
      </c>
      <c r="C923" s="22">
        <v>0.67</v>
      </c>
    </row>
    <row r="924" spans="1:3">
      <c r="A924" s="27" t="s">
        <v>1915</v>
      </c>
      <c r="B924" s="4" t="s">
        <v>1916</v>
      </c>
      <c r="C924" s="22">
        <v>0.67</v>
      </c>
    </row>
    <row r="925" spans="1:3">
      <c r="A925" s="27" t="s">
        <v>1917</v>
      </c>
      <c r="B925" s="4" t="s">
        <v>1918</v>
      </c>
      <c r="C925" s="22">
        <v>0.67</v>
      </c>
    </row>
    <row r="926" spans="1:3">
      <c r="A926" s="27" t="s">
        <v>1919</v>
      </c>
      <c r="B926" s="4" t="s">
        <v>1920</v>
      </c>
      <c r="C926" s="22">
        <v>0.67</v>
      </c>
    </row>
    <row r="927" spans="1:3">
      <c r="A927" s="27" t="s">
        <v>1921</v>
      </c>
      <c r="B927" s="4" t="s">
        <v>1922</v>
      </c>
      <c r="C927" s="22">
        <v>0.67</v>
      </c>
    </row>
    <row r="928" spans="1:3">
      <c r="A928" s="27" t="s">
        <v>1923</v>
      </c>
      <c r="B928" s="4" t="s">
        <v>1924</v>
      </c>
      <c r="C928" s="22">
        <v>0.67</v>
      </c>
    </row>
    <row r="929" spans="1:3">
      <c r="A929" s="27" t="s">
        <v>1925</v>
      </c>
      <c r="B929" s="4" t="s">
        <v>1926</v>
      </c>
      <c r="C929" s="22">
        <v>0.67</v>
      </c>
    </row>
    <row r="930" spans="1:3">
      <c r="A930" s="27" t="s">
        <v>1927</v>
      </c>
      <c r="B930" s="4" t="s">
        <v>1928</v>
      </c>
      <c r="C930" s="22">
        <v>0.67</v>
      </c>
    </row>
    <row r="931" spans="1:3">
      <c r="A931" s="27" t="s">
        <v>1929</v>
      </c>
      <c r="B931" s="4" t="s">
        <v>1930</v>
      </c>
      <c r="C931" s="22">
        <v>0.67</v>
      </c>
    </row>
    <row r="932" spans="1:3">
      <c r="A932" s="27" t="s">
        <v>1931</v>
      </c>
      <c r="B932" s="4" t="s">
        <v>1932</v>
      </c>
      <c r="C932" s="22">
        <v>0.67</v>
      </c>
    </row>
    <row r="933" spans="1:3">
      <c r="A933" s="27" t="s">
        <v>1933</v>
      </c>
      <c r="B933" s="4" t="s">
        <v>1934</v>
      </c>
      <c r="C933" s="22">
        <v>0.67</v>
      </c>
    </row>
    <row r="934" spans="1:3">
      <c r="A934" s="27" t="s">
        <v>1935</v>
      </c>
      <c r="B934" s="4" t="s">
        <v>1936</v>
      </c>
      <c r="C934" s="22">
        <v>0.67</v>
      </c>
    </row>
    <row r="935" spans="1:3">
      <c r="A935" s="27" t="s">
        <v>1937</v>
      </c>
      <c r="B935" s="4" t="s">
        <v>1938</v>
      </c>
      <c r="C935" s="22">
        <v>0.67</v>
      </c>
    </row>
    <row r="936" spans="1:3">
      <c r="A936" s="27" t="s">
        <v>1939</v>
      </c>
      <c r="B936" s="4" t="s">
        <v>1940</v>
      </c>
      <c r="C936" s="22">
        <v>0.67</v>
      </c>
    </row>
    <row r="937" spans="1:3">
      <c r="A937" s="27" t="s">
        <v>1941</v>
      </c>
      <c r="B937" s="4" t="s">
        <v>1942</v>
      </c>
      <c r="C937" s="22">
        <v>0.67</v>
      </c>
    </row>
    <row r="938" spans="1:3">
      <c r="A938" s="27" t="s">
        <v>1943</v>
      </c>
      <c r="B938" s="4" t="s">
        <v>1944</v>
      </c>
      <c r="C938" s="22">
        <v>0.78</v>
      </c>
    </row>
    <row r="939" spans="1:3">
      <c r="A939" s="27" t="s">
        <v>1945</v>
      </c>
      <c r="B939" s="4" t="s">
        <v>1946</v>
      </c>
      <c r="C939" s="22">
        <v>0.78</v>
      </c>
    </row>
    <row r="940" spans="1:3">
      <c r="A940" s="27" t="s">
        <v>1947</v>
      </c>
      <c r="B940" s="4" t="s">
        <v>1948</v>
      </c>
      <c r="C940" s="22">
        <v>0.78</v>
      </c>
    </row>
    <row r="941" spans="1:3">
      <c r="A941" s="27" t="s">
        <v>1949</v>
      </c>
      <c r="B941" s="4" t="s">
        <v>1950</v>
      </c>
      <c r="C941" s="22">
        <v>0.78</v>
      </c>
    </row>
    <row r="942" spans="1:3">
      <c r="A942" s="27" t="s">
        <v>1951</v>
      </c>
      <c r="B942" s="4" t="s">
        <v>1952</v>
      </c>
      <c r="C942" s="22">
        <v>0.78</v>
      </c>
    </row>
    <row r="943" spans="1:3">
      <c r="A943" s="27" t="s">
        <v>1953</v>
      </c>
      <c r="B943" s="4" t="s">
        <v>1954</v>
      </c>
      <c r="C943" s="22">
        <v>0.78</v>
      </c>
    </row>
    <row r="944" spans="1:3">
      <c r="A944" s="27" t="s">
        <v>1955</v>
      </c>
      <c r="B944" s="4" t="s">
        <v>1956</v>
      </c>
      <c r="C944" s="22">
        <v>0.78</v>
      </c>
    </row>
    <row r="945" spans="1:3">
      <c r="A945" s="27" t="s">
        <v>1957</v>
      </c>
      <c r="B945" s="4" t="s">
        <v>1958</v>
      </c>
      <c r="C945" s="22">
        <v>0.78</v>
      </c>
    </row>
    <row r="946" spans="1:3">
      <c r="A946" s="27" t="s">
        <v>1959</v>
      </c>
      <c r="B946" s="4" t="s">
        <v>1960</v>
      </c>
      <c r="C946" s="22">
        <v>0.78</v>
      </c>
    </row>
    <row r="947" spans="1:3">
      <c r="A947" s="27" t="s">
        <v>1961</v>
      </c>
      <c r="B947" s="4" t="s">
        <v>1962</v>
      </c>
      <c r="C947" s="22">
        <v>0.78</v>
      </c>
    </row>
    <row r="948" spans="1:3">
      <c r="A948" s="27" t="s">
        <v>1963</v>
      </c>
      <c r="B948" s="4" t="s">
        <v>1964</v>
      </c>
      <c r="C948" s="22">
        <v>0.78</v>
      </c>
    </row>
    <row r="949" spans="1:3">
      <c r="A949" s="27" t="s">
        <v>1965</v>
      </c>
      <c r="B949" s="4" t="s">
        <v>1966</v>
      </c>
      <c r="C949" s="22">
        <v>0.78</v>
      </c>
    </row>
    <row r="950" spans="1:3">
      <c r="A950" s="27" t="s">
        <v>1967</v>
      </c>
      <c r="B950" s="4" t="s">
        <v>1968</v>
      </c>
      <c r="C950" s="22">
        <v>0.78</v>
      </c>
    </row>
    <row r="951" spans="1:3">
      <c r="A951" s="27" t="s">
        <v>1969</v>
      </c>
      <c r="B951" s="4" t="s">
        <v>1970</v>
      </c>
      <c r="C951" s="22">
        <v>0.78</v>
      </c>
    </row>
    <row r="952" spans="1:3">
      <c r="A952" s="27" t="s">
        <v>1971</v>
      </c>
      <c r="B952" s="4" t="s">
        <v>1972</v>
      </c>
      <c r="C952" s="22">
        <v>0.78</v>
      </c>
    </row>
    <row r="953" spans="1:3">
      <c r="A953" s="27" t="s">
        <v>1973</v>
      </c>
      <c r="B953" s="4" t="s">
        <v>1974</v>
      </c>
      <c r="C953" s="22">
        <v>0.78</v>
      </c>
    </row>
    <row r="954" spans="1:3">
      <c r="A954" s="27" t="s">
        <v>1975</v>
      </c>
      <c r="B954" s="4" t="s">
        <v>1976</v>
      </c>
      <c r="C954" s="22">
        <v>0.78</v>
      </c>
    </row>
    <row r="955" spans="1:3">
      <c r="A955" s="27" t="s">
        <v>1977</v>
      </c>
      <c r="B955" s="4" t="s">
        <v>1978</v>
      </c>
      <c r="C955" s="22">
        <v>0.78</v>
      </c>
    </row>
    <row r="956" spans="1:3">
      <c r="A956" s="27" t="s">
        <v>1979</v>
      </c>
      <c r="B956" s="4" t="s">
        <v>1980</v>
      </c>
      <c r="C956" s="22">
        <v>0.78</v>
      </c>
    </row>
    <row r="957" spans="1:3">
      <c r="A957" s="27" t="s">
        <v>1981</v>
      </c>
      <c r="B957" s="4" t="s">
        <v>1982</v>
      </c>
      <c r="C957" s="22">
        <v>0.78</v>
      </c>
    </row>
    <row r="958" spans="1:3">
      <c r="A958" s="27" t="s">
        <v>1983</v>
      </c>
      <c r="B958" s="4" t="s">
        <v>1984</v>
      </c>
      <c r="C958" s="22">
        <v>0.78</v>
      </c>
    </row>
    <row r="959" spans="1:3">
      <c r="A959" s="27" t="s">
        <v>1985</v>
      </c>
      <c r="B959" s="4" t="s">
        <v>1986</v>
      </c>
      <c r="C959" s="22">
        <v>0.78</v>
      </c>
    </row>
    <row r="960" spans="1:3">
      <c r="A960" s="27" t="s">
        <v>1987</v>
      </c>
      <c r="B960" s="4" t="s">
        <v>1988</v>
      </c>
      <c r="C960" s="22">
        <v>0.78</v>
      </c>
    </row>
    <row r="961" spans="1:3">
      <c r="A961" s="27" t="s">
        <v>1989</v>
      </c>
      <c r="B961" s="4" t="s">
        <v>1990</v>
      </c>
      <c r="C961" s="22">
        <v>0.78</v>
      </c>
    </row>
    <row r="962" spans="1:3">
      <c r="A962" s="27" t="s">
        <v>1991</v>
      </c>
      <c r="B962" s="4" t="s">
        <v>1992</v>
      </c>
      <c r="C962" s="22">
        <v>0.78</v>
      </c>
    </row>
    <row r="963" spans="1:3">
      <c r="A963" s="27" t="s">
        <v>1993</v>
      </c>
      <c r="B963" s="4" t="s">
        <v>1994</v>
      </c>
      <c r="C963" s="22">
        <v>0.78</v>
      </c>
    </row>
    <row r="964" spans="1:3">
      <c r="A964" s="27" t="s">
        <v>1995</v>
      </c>
      <c r="B964" s="4" t="s">
        <v>1996</v>
      </c>
      <c r="C964" s="22">
        <v>0.78</v>
      </c>
    </row>
    <row r="965" spans="1:3">
      <c r="A965" s="27" t="s">
        <v>1997</v>
      </c>
      <c r="B965" s="4" t="s">
        <v>1998</v>
      </c>
      <c r="C965" s="22">
        <v>0.78</v>
      </c>
    </row>
    <row r="966" spans="1:3">
      <c r="A966" s="27" t="s">
        <v>1999</v>
      </c>
      <c r="B966" s="4" t="s">
        <v>2000</v>
      </c>
      <c r="C966" s="22">
        <v>0.78</v>
      </c>
    </row>
    <row r="967" spans="1:3">
      <c r="A967" s="27" t="s">
        <v>2001</v>
      </c>
      <c r="B967" s="4" t="s">
        <v>2002</v>
      </c>
      <c r="C967" s="22">
        <v>0.78</v>
      </c>
    </row>
    <row r="968" spans="1:3">
      <c r="A968" s="27" t="s">
        <v>2003</v>
      </c>
      <c r="B968" s="4" t="s">
        <v>2004</v>
      </c>
      <c r="C968" s="22">
        <v>0.78</v>
      </c>
    </row>
    <row r="969" spans="1:3">
      <c r="A969" s="27" t="s">
        <v>2005</v>
      </c>
      <c r="B969" s="4" t="s">
        <v>2006</v>
      </c>
      <c r="C969" s="22">
        <v>0.78</v>
      </c>
    </row>
    <row r="970" spans="1:3">
      <c r="A970" s="27" t="s">
        <v>2007</v>
      </c>
      <c r="B970" s="4" t="s">
        <v>2008</v>
      </c>
      <c r="C970" s="22">
        <v>0.78</v>
      </c>
    </row>
    <row r="971" spans="1:3">
      <c r="A971" s="27" t="s">
        <v>2009</v>
      </c>
      <c r="B971" s="4" t="s">
        <v>2010</v>
      </c>
      <c r="C971" s="22">
        <v>0.78</v>
      </c>
    </row>
    <row r="972" spans="1:3">
      <c r="A972" s="27" t="s">
        <v>2011</v>
      </c>
      <c r="B972" s="4" t="s">
        <v>2012</v>
      </c>
      <c r="C972" s="22">
        <v>0.78</v>
      </c>
    </row>
    <row r="973" spans="1:3">
      <c r="A973" s="27" t="s">
        <v>2013</v>
      </c>
      <c r="B973" s="4" t="s">
        <v>2014</v>
      </c>
      <c r="C973" s="22">
        <v>0.78</v>
      </c>
    </row>
    <row r="974" spans="1:3">
      <c r="A974" s="27" t="s">
        <v>2015</v>
      </c>
      <c r="B974" s="4" t="s">
        <v>2016</v>
      </c>
      <c r="C974" s="22">
        <v>0.78</v>
      </c>
    </row>
    <row r="975" spans="1:3">
      <c r="A975" s="27" t="s">
        <v>2017</v>
      </c>
      <c r="B975" s="4" t="s">
        <v>2018</v>
      </c>
      <c r="C975" s="22">
        <v>0.78</v>
      </c>
    </row>
    <row r="976" spans="1:3">
      <c r="A976" s="27" t="s">
        <v>2019</v>
      </c>
      <c r="B976" s="4" t="s">
        <v>2020</v>
      </c>
      <c r="C976" s="22">
        <v>0.78</v>
      </c>
    </row>
    <row r="977" spans="1:3">
      <c r="A977" s="27" t="s">
        <v>2021</v>
      </c>
      <c r="B977" s="4" t="s">
        <v>2022</v>
      </c>
      <c r="C977" s="22">
        <v>0.86</v>
      </c>
    </row>
    <row r="978" spans="1:3">
      <c r="A978" s="27" t="s">
        <v>2023</v>
      </c>
      <c r="B978" s="4" t="s">
        <v>2024</v>
      </c>
      <c r="C978" s="22">
        <v>0.86</v>
      </c>
    </row>
    <row r="979" spans="1:3">
      <c r="A979" s="27" t="s">
        <v>2025</v>
      </c>
      <c r="B979" s="4" t="s">
        <v>2026</v>
      </c>
      <c r="C979" s="22">
        <v>0.86</v>
      </c>
    </row>
    <row r="980" spans="1:3">
      <c r="A980" s="27" t="s">
        <v>2027</v>
      </c>
      <c r="B980" s="4" t="s">
        <v>2028</v>
      </c>
      <c r="C980" s="22">
        <v>0.86</v>
      </c>
    </row>
    <row r="981" spans="1:3">
      <c r="A981" s="27" t="s">
        <v>2029</v>
      </c>
      <c r="B981" s="4" t="s">
        <v>2030</v>
      </c>
      <c r="C981" s="22">
        <v>0.86</v>
      </c>
    </row>
    <row r="982" spans="1:3">
      <c r="A982" s="27" t="s">
        <v>2031</v>
      </c>
      <c r="B982" s="4" t="s">
        <v>2032</v>
      </c>
      <c r="C982" s="22">
        <v>0.78</v>
      </c>
    </row>
    <row r="983" spans="1:3">
      <c r="A983" s="27" t="s">
        <v>2033</v>
      </c>
      <c r="B983" s="4" t="s">
        <v>2034</v>
      </c>
      <c r="C983" s="22">
        <v>0.78</v>
      </c>
    </row>
    <row r="984" spans="1:3">
      <c r="A984" s="27" t="s">
        <v>2035</v>
      </c>
      <c r="B984" s="4" t="s">
        <v>2036</v>
      </c>
      <c r="C984" s="22">
        <v>0.78</v>
      </c>
    </row>
    <row r="985" spans="1:3">
      <c r="A985" s="27" t="s">
        <v>2037</v>
      </c>
      <c r="B985" s="4" t="s">
        <v>2038</v>
      </c>
      <c r="C985" s="22">
        <v>0.78</v>
      </c>
    </row>
    <row r="986" spans="1:3">
      <c r="A986" s="27" t="s">
        <v>2039</v>
      </c>
      <c r="B986" s="4" t="s">
        <v>2040</v>
      </c>
      <c r="C986" s="22">
        <v>0.78</v>
      </c>
    </row>
    <row r="987" spans="1:3">
      <c r="A987" s="27" t="s">
        <v>2041</v>
      </c>
      <c r="B987" s="4" t="s">
        <v>2042</v>
      </c>
      <c r="C987" s="22">
        <v>0.78</v>
      </c>
    </row>
    <row r="988" spans="1:3">
      <c r="A988" s="27" t="s">
        <v>2043</v>
      </c>
      <c r="B988" s="4" t="s">
        <v>2044</v>
      </c>
      <c r="C988" s="22">
        <v>0.78</v>
      </c>
    </row>
    <row r="989" spans="1:3">
      <c r="A989" s="27" t="s">
        <v>2045</v>
      </c>
      <c r="B989" s="4" t="s">
        <v>2046</v>
      </c>
      <c r="C989" s="22">
        <v>0.78</v>
      </c>
    </row>
    <row r="990" spans="1:3">
      <c r="A990" s="27" t="s">
        <v>2047</v>
      </c>
      <c r="B990" s="4" t="s">
        <v>2048</v>
      </c>
      <c r="C990" s="22">
        <v>0.78</v>
      </c>
    </row>
    <row r="991" spans="1:3">
      <c r="A991" s="27" t="s">
        <v>2049</v>
      </c>
      <c r="B991" s="4" t="s">
        <v>2050</v>
      </c>
      <c r="C991" s="22">
        <v>0.78</v>
      </c>
    </row>
    <row r="992" spans="1:3">
      <c r="A992" s="27" t="s">
        <v>2051</v>
      </c>
      <c r="B992" s="4" t="s">
        <v>2052</v>
      </c>
      <c r="C992" s="22">
        <v>0.78</v>
      </c>
    </row>
    <row r="993" spans="1:3">
      <c r="A993" s="27" t="s">
        <v>2053</v>
      </c>
      <c r="B993" s="4" t="s">
        <v>2054</v>
      </c>
      <c r="C993" s="22">
        <v>0.78</v>
      </c>
    </row>
    <row r="994" spans="1:3">
      <c r="A994" s="27" t="s">
        <v>2055</v>
      </c>
      <c r="B994" s="4" t="s">
        <v>2056</v>
      </c>
      <c r="C994" s="22">
        <v>0.78</v>
      </c>
    </row>
    <row r="995" spans="1:3">
      <c r="A995" s="27" t="s">
        <v>2057</v>
      </c>
      <c r="B995" s="4" t="s">
        <v>2058</v>
      </c>
      <c r="C995" s="22">
        <v>0.78</v>
      </c>
    </row>
    <row r="996" spans="1:3">
      <c r="A996" s="27" t="s">
        <v>2059</v>
      </c>
      <c r="B996" s="4" t="s">
        <v>2060</v>
      </c>
      <c r="C996" s="22">
        <v>0.78</v>
      </c>
    </row>
    <row r="997" spans="1:3">
      <c r="A997" s="27" t="s">
        <v>2061</v>
      </c>
      <c r="B997" s="4" t="s">
        <v>2062</v>
      </c>
      <c r="C997" s="22">
        <v>0.78</v>
      </c>
    </row>
    <row r="998" spans="1:3">
      <c r="A998" s="27" t="s">
        <v>2063</v>
      </c>
      <c r="B998" s="4" t="s">
        <v>2064</v>
      </c>
      <c r="C998" s="22">
        <v>0.78</v>
      </c>
    </row>
    <row r="999" spans="1:3">
      <c r="A999" s="27" t="s">
        <v>2065</v>
      </c>
      <c r="B999" s="4" t="s">
        <v>2066</v>
      </c>
      <c r="C999" s="22">
        <v>0.78</v>
      </c>
    </row>
    <row r="1000" spans="1:3">
      <c r="A1000" s="27" t="s">
        <v>2067</v>
      </c>
      <c r="B1000" s="4" t="s">
        <v>2068</v>
      </c>
      <c r="C1000" s="22">
        <v>0.78</v>
      </c>
    </row>
    <row r="1001" spans="1:3">
      <c r="A1001" s="27" t="s">
        <v>2069</v>
      </c>
      <c r="B1001" s="4" t="s">
        <v>2070</v>
      </c>
      <c r="C1001" s="22">
        <v>0.78</v>
      </c>
    </row>
    <row r="1002" spans="1:3">
      <c r="A1002" s="27" t="s">
        <v>2071</v>
      </c>
      <c r="B1002" s="4" t="s">
        <v>2072</v>
      </c>
      <c r="C1002" s="22">
        <v>0.78</v>
      </c>
    </row>
    <row r="1003" spans="1:3">
      <c r="A1003" s="27" t="s">
        <v>2073</v>
      </c>
      <c r="B1003" s="4" t="s">
        <v>2074</v>
      </c>
      <c r="C1003" s="22">
        <v>0.78</v>
      </c>
    </row>
    <row r="1004" spans="1:3">
      <c r="A1004" s="27" t="s">
        <v>2075</v>
      </c>
      <c r="B1004" s="4" t="s">
        <v>2076</v>
      </c>
      <c r="C1004" s="22">
        <v>0.78</v>
      </c>
    </row>
    <row r="1005" spans="1:3">
      <c r="A1005" s="27" t="s">
        <v>2077</v>
      </c>
      <c r="B1005" s="4" t="s">
        <v>2078</v>
      </c>
      <c r="C1005" s="22">
        <v>0.78</v>
      </c>
    </row>
    <row r="1006" spans="1:3">
      <c r="A1006" s="27" t="s">
        <v>2079</v>
      </c>
      <c r="B1006" s="4" t="s">
        <v>2080</v>
      </c>
      <c r="C1006" s="22">
        <v>0.78</v>
      </c>
    </row>
    <row r="1007" spans="1:3">
      <c r="A1007" s="27" t="s">
        <v>2081</v>
      </c>
      <c r="B1007" s="4" t="s">
        <v>2082</v>
      </c>
      <c r="C1007" s="22">
        <v>0.78</v>
      </c>
    </row>
    <row r="1008" spans="1:3">
      <c r="A1008" s="27" t="s">
        <v>2083</v>
      </c>
      <c r="B1008" s="4" t="s">
        <v>2084</v>
      </c>
      <c r="C1008" s="22">
        <v>0.78</v>
      </c>
    </row>
    <row r="1009" spans="1:3">
      <c r="A1009" s="27" t="s">
        <v>2085</v>
      </c>
      <c r="B1009" s="4" t="s">
        <v>2086</v>
      </c>
      <c r="C1009" s="22">
        <v>0.78</v>
      </c>
    </row>
    <row r="1010" spans="1:3">
      <c r="A1010" s="27" t="s">
        <v>2087</v>
      </c>
      <c r="B1010" s="4" t="s">
        <v>2088</v>
      </c>
      <c r="C1010" s="22">
        <v>0.78</v>
      </c>
    </row>
    <row r="1011" spans="1:3">
      <c r="A1011" s="27" t="s">
        <v>2089</v>
      </c>
      <c r="B1011" s="4" t="s">
        <v>2090</v>
      </c>
      <c r="C1011" s="22">
        <v>0.78</v>
      </c>
    </row>
    <row r="1012" spans="1:3">
      <c r="A1012" s="27" t="s">
        <v>2091</v>
      </c>
      <c r="B1012" s="4" t="s">
        <v>2092</v>
      </c>
      <c r="C1012" s="22">
        <v>0.78</v>
      </c>
    </row>
    <row r="1013" spans="1:3">
      <c r="A1013" s="27" t="s">
        <v>2093</v>
      </c>
      <c r="B1013" s="4" t="s">
        <v>2094</v>
      </c>
      <c r="C1013" s="22">
        <v>0.78</v>
      </c>
    </row>
    <row r="1014" spans="1:3">
      <c r="A1014" s="27" t="s">
        <v>2095</v>
      </c>
      <c r="B1014" s="4" t="s">
        <v>2096</v>
      </c>
      <c r="C1014" s="22">
        <v>0.78</v>
      </c>
    </row>
    <row r="1015" spans="1:3">
      <c r="A1015" s="27" t="s">
        <v>2097</v>
      </c>
      <c r="B1015" s="4" t="s">
        <v>2098</v>
      </c>
      <c r="C1015" s="22">
        <v>0.78</v>
      </c>
    </row>
    <row r="1016" spans="1:3">
      <c r="A1016" s="27" t="s">
        <v>2099</v>
      </c>
      <c r="B1016" s="4" t="s">
        <v>2100</v>
      </c>
      <c r="C1016" s="22">
        <v>0.78</v>
      </c>
    </row>
    <row r="1017" spans="1:3">
      <c r="A1017" s="27" t="s">
        <v>2101</v>
      </c>
      <c r="B1017" s="4" t="s">
        <v>2102</v>
      </c>
      <c r="C1017" s="22">
        <v>0.78</v>
      </c>
    </row>
    <row r="1018" spans="1:3">
      <c r="A1018" s="27" t="s">
        <v>2103</v>
      </c>
      <c r="B1018" s="4" t="s">
        <v>2104</v>
      </c>
      <c r="C1018" s="22">
        <v>0.78</v>
      </c>
    </row>
    <row r="1019" spans="1:3">
      <c r="A1019" s="27" t="s">
        <v>2105</v>
      </c>
      <c r="B1019" s="4" t="s">
        <v>2106</v>
      </c>
      <c r="C1019" s="22">
        <v>0.78</v>
      </c>
    </row>
    <row r="1020" spans="1:3">
      <c r="A1020" s="27" t="s">
        <v>2107</v>
      </c>
      <c r="B1020" s="4" t="s">
        <v>2108</v>
      </c>
      <c r="C1020" s="22">
        <v>0.78</v>
      </c>
    </row>
    <row r="1021" spans="1:3">
      <c r="A1021" s="27" t="s">
        <v>2109</v>
      </c>
      <c r="B1021" s="4" t="s">
        <v>2110</v>
      </c>
      <c r="C1021" s="22">
        <v>0.78</v>
      </c>
    </row>
    <row r="1022" spans="1:3">
      <c r="A1022" s="27" t="s">
        <v>2111</v>
      </c>
      <c r="B1022" s="4" t="s">
        <v>2112</v>
      </c>
      <c r="C1022" s="22">
        <v>0.78</v>
      </c>
    </row>
    <row r="1023" spans="1:3">
      <c r="A1023" s="27" t="s">
        <v>2113</v>
      </c>
      <c r="B1023" s="4" t="s">
        <v>2114</v>
      </c>
      <c r="C1023" s="22">
        <v>0.78</v>
      </c>
    </row>
    <row r="1024" spans="1:3">
      <c r="A1024" s="27" t="s">
        <v>2115</v>
      </c>
      <c r="B1024" s="4" t="s">
        <v>2116</v>
      </c>
      <c r="C1024" s="22">
        <v>0.78</v>
      </c>
    </row>
    <row r="1025" spans="1:3">
      <c r="A1025" s="27" t="s">
        <v>2117</v>
      </c>
      <c r="B1025" s="4" t="s">
        <v>2118</v>
      </c>
      <c r="C1025" s="22">
        <v>0.78</v>
      </c>
    </row>
    <row r="1026" spans="1:3">
      <c r="A1026" s="27" t="s">
        <v>2119</v>
      </c>
      <c r="B1026" s="4" t="s">
        <v>2120</v>
      </c>
      <c r="C1026" s="22">
        <v>0.78</v>
      </c>
    </row>
    <row r="1027" spans="1:3">
      <c r="A1027" s="27" t="s">
        <v>2121</v>
      </c>
      <c r="B1027" s="4" t="s">
        <v>2122</v>
      </c>
      <c r="C1027" s="22">
        <v>0.78</v>
      </c>
    </row>
    <row r="1028" spans="1:3">
      <c r="A1028" s="27" t="s">
        <v>2123</v>
      </c>
      <c r="B1028" s="4" t="s">
        <v>2124</v>
      </c>
      <c r="C1028" s="22">
        <v>0.78</v>
      </c>
    </row>
    <row r="1029" spans="1:3">
      <c r="A1029" s="27" t="s">
        <v>2125</v>
      </c>
      <c r="B1029" s="4" t="s">
        <v>2126</v>
      </c>
      <c r="C1029" s="22">
        <v>0.78</v>
      </c>
    </row>
    <row r="1030" spans="1:3">
      <c r="A1030" s="27" t="s">
        <v>2127</v>
      </c>
      <c r="B1030" s="4" t="s">
        <v>2128</v>
      </c>
      <c r="C1030" s="22">
        <v>0.78</v>
      </c>
    </row>
    <row r="1031" spans="1:3">
      <c r="A1031" s="27" t="s">
        <v>2129</v>
      </c>
      <c r="B1031" s="4" t="s">
        <v>2130</v>
      </c>
      <c r="C1031" s="22">
        <v>0.78</v>
      </c>
    </row>
    <row r="1032" spans="1:3">
      <c r="A1032" s="27" t="s">
        <v>2131</v>
      </c>
      <c r="B1032" s="4" t="s">
        <v>2132</v>
      </c>
      <c r="C1032" s="22">
        <v>0.78</v>
      </c>
    </row>
    <row r="1033" spans="1:3">
      <c r="A1033" s="27" t="s">
        <v>2133</v>
      </c>
      <c r="B1033" s="4" t="s">
        <v>2134</v>
      </c>
      <c r="C1033" s="22">
        <v>0.78</v>
      </c>
    </row>
    <row r="1034" spans="1:3">
      <c r="A1034" s="27" t="s">
        <v>2135</v>
      </c>
      <c r="B1034" s="4" t="s">
        <v>2136</v>
      </c>
      <c r="C1034" s="22">
        <v>0.78</v>
      </c>
    </row>
    <row r="1035" spans="1:3">
      <c r="A1035" s="27" t="s">
        <v>2137</v>
      </c>
      <c r="B1035" s="4" t="s">
        <v>2138</v>
      </c>
      <c r="C1035" s="22">
        <v>0.78</v>
      </c>
    </row>
    <row r="1036" spans="1:3">
      <c r="A1036" s="27" t="s">
        <v>2139</v>
      </c>
      <c r="B1036" s="4" t="s">
        <v>2140</v>
      </c>
      <c r="C1036" s="22">
        <v>0.78</v>
      </c>
    </row>
    <row r="1037" spans="1:3">
      <c r="A1037" s="27" t="s">
        <v>2141</v>
      </c>
      <c r="B1037" s="4" t="s">
        <v>2142</v>
      </c>
      <c r="C1037" s="22">
        <v>0.78</v>
      </c>
    </row>
    <row r="1038" spans="1:3">
      <c r="A1038" s="27" t="s">
        <v>2143</v>
      </c>
      <c r="B1038" s="4" t="s">
        <v>2144</v>
      </c>
      <c r="C1038" s="22">
        <v>0.67</v>
      </c>
    </row>
    <row r="1039" spans="1:3">
      <c r="A1039" s="27" t="s">
        <v>2145</v>
      </c>
      <c r="B1039" s="4" t="s">
        <v>2142</v>
      </c>
      <c r="C1039" s="22">
        <v>0.67</v>
      </c>
    </row>
    <row r="1040" spans="1:3">
      <c r="A1040" s="27" t="s">
        <v>2146</v>
      </c>
      <c r="B1040" s="4" t="s">
        <v>2142</v>
      </c>
      <c r="C1040" s="22">
        <v>0.67</v>
      </c>
    </row>
    <row r="1041" spans="1:3">
      <c r="A1041" s="27" t="s">
        <v>2147</v>
      </c>
      <c r="B1041" s="4" t="s">
        <v>2148</v>
      </c>
      <c r="C1041" s="22">
        <v>0.67</v>
      </c>
    </row>
    <row r="1042" spans="1:3">
      <c r="A1042" s="27" t="s">
        <v>2149</v>
      </c>
      <c r="B1042" s="4" t="s">
        <v>2150</v>
      </c>
      <c r="C1042" s="22">
        <v>0.67</v>
      </c>
    </row>
    <row r="1043" spans="1:3">
      <c r="A1043" s="27" t="s">
        <v>2151</v>
      </c>
      <c r="B1043" s="4" t="s">
        <v>2152</v>
      </c>
      <c r="C1043" s="22">
        <v>0.67</v>
      </c>
    </row>
    <row r="1044" spans="1:3">
      <c r="A1044" s="27" t="s">
        <v>2153</v>
      </c>
      <c r="B1044" s="4" t="s">
        <v>2154</v>
      </c>
      <c r="C1044" s="22">
        <v>0.67</v>
      </c>
    </row>
    <row r="1045" spans="1:3">
      <c r="A1045" s="27" t="s">
        <v>2155</v>
      </c>
      <c r="B1045" s="4" t="s">
        <v>2156</v>
      </c>
      <c r="C1045" s="22">
        <v>0.67</v>
      </c>
    </row>
    <row r="1046" spans="1:3">
      <c r="A1046" s="27" t="s">
        <v>2157</v>
      </c>
      <c r="B1046" s="4" t="s">
        <v>2158</v>
      </c>
      <c r="C1046" s="22">
        <v>0.67</v>
      </c>
    </row>
    <row r="1047" spans="1:3">
      <c r="A1047" s="27" t="s">
        <v>2159</v>
      </c>
      <c r="B1047" s="4" t="s">
        <v>2160</v>
      </c>
      <c r="C1047" s="22">
        <v>0.67</v>
      </c>
    </row>
    <row r="1048" spans="1:3">
      <c r="A1048" s="27" t="s">
        <v>2161</v>
      </c>
      <c r="B1048" s="4" t="s">
        <v>2162</v>
      </c>
      <c r="C1048" s="22">
        <v>0.67</v>
      </c>
    </row>
    <row r="1049" spans="1:3">
      <c r="A1049" s="27" t="s">
        <v>2163</v>
      </c>
      <c r="B1049" s="4" t="s">
        <v>2164</v>
      </c>
      <c r="C1049" s="22">
        <v>0.67</v>
      </c>
    </row>
    <row r="1050" spans="1:3">
      <c r="A1050" s="27" t="s">
        <v>2165</v>
      </c>
      <c r="B1050" s="4" t="s">
        <v>2166</v>
      </c>
      <c r="C1050" s="22">
        <v>0.67</v>
      </c>
    </row>
    <row r="1051" spans="1:3">
      <c r="A1051" s="27" t="s">
        <v>2167</v>
      </c>
      <c r="B1051" s="4" t="s">
        <v>2168</v>
      </c>
      <c r="C1051" s="22">
        <v>0.67</v>
      </c>
    </row>
    <row r="1052" spans="1:3">
      <c r="A1052" s="27" t="s">
        <v>2169</v>
      </c>
      <c r="B1052" s="4" t="s">
        <v>2170</v>
      </c>
      <c r="C1052" s="22">
        <v>0.67</v>
      </c>
    </row>
    <row r="1053" spans="1:3">
      <c r="A1053" s="27" t="s">
        <v>2171</v>
      </c>
      <c r="B1053" s="4" t="s">
        <v>2172</v>
      </c>
      <c r="C1053" s="22">
        <v>0.67</v>
      </c>
    </row>
    <row r="1054" spans="1:3">
      <c r="A1054" s="27" t="s">
        <v>2173</v>
      </c>
      <c r="B1054" s="4" t="s">
        <v>2174</v>
      </c>
      <c r="C1054" s="22">
        <v>0.67</v>
      </c>
    </row>
    <row r="1055" spans="1:3">
      <c r="A1055" s="27" t="s">
        <v>2175</v>
      </c>
      <c r="B1055" s="4" t="s">
        <v>2176</v>
      </c>
      <c r="C1055" s="22">
        <v>0.67</v>
      </c>
    </row>
    <row r="1056" spans="1:3">
      <c r="A1056" s="27" t="s">
        <v>2177</v>
      </c>
      <c r="B1056" s="4" t="s">
        <v>2178</v>
      </c>
      <c r="C1056" s="22">
        <v>0.67</v>
      </c>
    </row>
    <row r="1057" spans="1:3">
      <c r="A1057" s="27" t="s">
        <v>2179</v>
      </c>
      <c r="B1057" s="4" t="s">
        <v>2180</v>
      </c>
      <c r="C1057" s="22">
        <v>0.67</v>
      </c>
    </row>
    <row r="1058" spans="1:3">
      <c r="A1058" s="27" t="s">
        <v>2181</v>
      </c>
      <c r="B1058" s="4" t="s">
        <v>2182</v>
      </c>
      <c r="C1058" s="22">
        <v>0.67</v>
      </c>
    </row>
    <row r="1059" spans="1:3">
      <c r="A1059" s="27" t="s">
        <v>2183</v>
      </c>
      <c r="B1059" s="4" t="s">
        <v>2184</v>
      </c>
      <c r="C1059" s="22">
        <v>0.67</v>
      </c>
    </row>
    <row r="1060" spans="1:3">
      <c r="A1060" s="27" t="s">
        <v>2185</v>
      </c>
      <c r="B1060" s="4" t="s">
        <v>2186</v>
      </c>
      <c r="C1060" s="22">
        <v>0.67</v>
      </c>
    </row>
    <row r="1061" spans="1:3">
      <c r="A1061" s="27" t="s">
        <v>2187</v>
      </c>
      <c r="B1061" s="4" t="s">
        <v>2188</v>
      </c>
      <c r="C1061" s="22">
        <v>0.67</v>
      </c>
    </row>
    <row r="1062" spans="1:3">
      <c r="A1062" s="27" t="s">
        <v>2189</v>
      </c>
      <c r="B1062" s="4" t="s">
        <v>2190</v>
      </c>
      <c r="C1062" s="22">
        <v>0.67</v>
      </c>
    </row>
    <row r="1063" spans="1:3">
      <c r="A1063" s="27" t="s">
        <v>2191</v>
      </c>
      <c r="B1063" s="4" t="s">
        <v>2192</v>
      </c>
      <c r="C1063" s="22">
        <v>0.67</v>
      </c>
    </row>
    <row r="1064" spans="1:3">
      <c r="A1064" s="27" t="s">
        <v>2193</v>
      </c>
      <c r="B1064" s="4" t="s">
        <v>2194</v>
      </c>
      <c r="C1064" s="22">
        <v>0.67</v>
      </c>
    </row>
    <row r="1065" spans="1:3">
      <c r="A1065" s="27" t="s">
        <v>2195</v>
      </c>
      <c r="B1065" s="4" t="s">
        <v>2196</v>
      </c>
      <c r="C1065" s="22">
        <v>0.67</v>
      </c>
    </row>
    <row r="1066" spans="1:3">
      <c r="A1066" s="27" t="s">
        <v>2197</v>
      </c>
      <c r="B1066" s="4" t="s">
        <v>2198</v>
      </c>
      <c r="C1066" s="22">
        <v>0.67</v>
      </c>
    </row>
    <row r="1067" spans="1:3">
      <c r="A1067" s="27" t="s">
        <v>2199</v>
      </c>
      <c r="B1067" s="4" t="s">
        <v>2200</v>
      </c>
      <c r="C1067" s="22">
        <v>0.67</v>
      </c>
    </row>
    <row r="1068" spans="1:3">
      <c r="A1068" s="27" t="s">
        <v>2201</v>
      </c>
      <c r="B1068" s="4" t="s">
        <v>2202</v>
      </c>
      <c r="C1068" s="22">
        <v>0.67</v>
      </c>
    </row>
    <row r="1069" spans="1:3">
      <c r="A1069" s="27" t="s">
        <v>2203</v>
      </c>
      <c r="B1069" s="4" t="s">
        <v>2204</v>
      </c>
      <c r="C1069" s="22">
        <v>0.67</v>
      </c>
    </row>
    <row r="1070" spans="1:3">
      <c r="A1070" s="27" t="s">
        <v>2205</v>
      </c>
      <c r="B1070" s="4" t="s">
        <v>2206</v>
      </c>
      <c r="C1070" s="22">
        <v>0.67</v>
      </c>
    </row>
    <row r="1071" spans="1:3">
      <c r="A1071" s="27" t="s">
        <v>2207</v>
      </c>
      <c r="B1071" s="4" t="s">
        <v>2208</v>
      </c>
      <c r="C1071" s="22">
        <v>0.67</v>
      </c>
    </row>
    <row r="1072" spans="1:3">
      <c r="A1072" s="27" t="s">
        <v>2209</v>
      </c>
      <c r="B1072" s="4" t="s">
        <v>2210</v>
      </c>
      <c r="C1072" s="22">
        <v>0.67</v>
      </c>
    </row>
    <row r="1073" spans="1:3">
      <c r="A1073" s="27" t="s">
        <v>2211</v>
      </c>
      <c r="B1073" s="4" t="s">
        <v>2212</v>
      </c>
      <c r="C1073" s="22">
        <v>0.67</v>
      </c>
    </row>
    <row r="1074" spans="1:3">
      <c r="A1074" s="27" t="s">
        <v>2213</v>
      </c>
      <c r="B1074" s="4" t="s">
        <v>2214</v>
      </c>
      <c r="C1074" s="22">
        <v>0.67</v>
      </c>
    </row>
    <row r="1075" spans="1:3">
      <c r="A1075" s="27" t="s">
        <v>2215</v>
      </c>
      <c r="B1075" s="4" t="s">
        <v>2216</v>
      </c>
      <c r="C1075" s="22">
        <v>0.67</v>
      </c>
    </row>
    <row r="1076" spans="1:3">
      <c r="A1076" s="27" t="s">
        <v>2217</v>
      </c>
      <c r="B1076" s="4" t="s">
        <v>2218</v>
      </c>
      <c r="C1076" s="22">
        <v>0.67</v>
      </c>
    </row>
    <row r="1077" spans="1:3">
      <c r="A1077" s="27" t="s">
        <v>2219</v>
      </c>
      <c r="B1077" s="4" t="s">
        <v>2220</v>
      </c>
      <c r="C1077" s="22">
        <v>0.67</v>
      </c>
    </row>
    <row r="1078" spans="1:3">
      <c r="A1078" s="27" t="s">
        <v>2221</v>
      </c>
      <c r="B1078" s="4" t="s">
        <v>2222</v>
      </c>
      <c r="C1078" s="22">
        <v>0.67</v>
      </c>
    </row>
    <row r="1079" spans="1:3">
      <c r="A1079" s="27" t="s">
        <v>2223</v>
      </c>
      <c r="B1079" s="4" t="s">
        <v>2224</v>
      </c>
      <c r="C1079" s="22">
        <v>0.67</v>
      </c>
    </row>
    <row r="1080" spans="1:3">
      <c r="A1080" s="27" t="s">
        <v>2225</v>
      </c>
      <c r="B1080" s="4" t="s">
        <v>2226</v>
      </c>
      <c r="C1080" s="22">
        <v>0.67</v>
      </c>
    </row>
    <row r="1081" spans="1:3">
      <c r="A1081" s="27" t="s">
        <v>2227</v>
      </c>
      <c r="B1081" s="4" t="s">
        <v>2228</v>
      </c>
      <c r="C1081" s="22">
        <v>0.67</v>
      </c>
    </row>
    <row r="1082" spans="1:3">
      <c r="A1082" s="27" t="s">
        <v>2229</v>
      </c>
      <c r="B1082" s="4" t="s">
        <v>2230</v>
      </c>
      <c r="C1082" s="22">
        <v>0.67</v>
      </c>
    </row>
    <row r="1083" spans="1:3">
      <c r="A1083" s="27" t="s">
        <v>2231</v>
      </c>
      <c r="B1083" s="4" t="s">
        <v>2232</v>
      </c>
      <c r="C1083" s="22">
        <v>0.67</v>
      </c>
    </row>
    <row r="1084" spans="1:3">
      <c r="A1084" s="27" t="s">
        <v>2233</v>
      </c>
      <c r="B1084" s="4" t="s">
        <v>2234</v>
      </c>
      <c r="C1084" s="22">
        <v>0.67</v>
      </c>
    </row>
    <row r="1085" spans="1:3">
      <c r="A1085" s="27" t="s">
        <v>2235</v>
      </c>
      <c r="B1085" s="4" t="s">
        <v>2236</v>
      </c>
      <c r="C1085" s="22">
        <v>0.67</v>
      </c>
    </row>
    <row r="1086" spans="1:3">
      <c r="A1086" s="27" t="s">
        <v>2237</v>
      </c>
      <c r="B1086" s="4" t="s">
        <v>2238</v>
      </c>
      <c r="C1086" s="22">
        <v>0.67</v>
      </c>
    </row>
    <row r="1087" spans="1:3">
      <c r="A1087" s="27" t="s">
        <v>2239</v>
      </c>
      <c r="B1087" s="4" t="s">
        <v>2240</v>
      </c>
      <c r="C1087" s="22">
        <v>0.67</v>
      </c>
    </row>
    <row r="1088" spans="1:3">
      <c r="A1088" s="27" t="s">
        <v>2241</v>
      </c>
      <c r="B1088" s="4" t="s">
        <v>2242</v>
      </c>
      <c r="C1088" s="22">
        <v>0.67</v>
      </c>
    </row>
    <row r="1089" spans="1:3">
      <c r="A1089" s="27" t="s">
        <v>2243</v>
      </c>
      <c r="B1089" s="4" t="s">
        <v>2244</v>
      </c>
      <c r="C1089" s="22">
        <v>0.67</v>
      </c>
    </row>
    <row r="1090" spans="1:3">
      <c r="A1090" s="27" t="s">
        <v>2245</v>
      </c>
      <c r="B1090" s="4" t="s">
        <v>2246</v>
      </c>
      <c r="C1090" s="22">
        <v>0.67</v>
      </c>
    </row>
    <row r="1091" spans="1:3">
      <c r="A1091" s="27" t="s">
        <v>2247</v>
      </c>
      <c r="B1091" s="4" t="s">
        <v>2248</v>
      </c>
      <c r="C1091" s="22">
        <v>0.67</v>
      </c>
    </row>
    <row r="1092" spans="1:3">
      <c r="A1092" s="27" t="s">
        <v>2249</v>
      </c>
      <c r="B1092" s="4" t="s">
        <v>2250</v>
      </c>
      <c r="C1092" s="22">
        <v>0.67</v>
      </c>
    </row>
    <row r="1093" spans="1:3">
      <c r="A1093" s="27" t="s">
        <v>2251</v>
      </c>
      <c r="B1093" s="4" t="s">
        <v>2252</v>
      </c>
      <c r="C1093" s="22">
        <v>0.67</v>
      </c>
    </row>
    <row r="1094" spans="1:3">
      <c r="A1094" s="27" t="s">
        <v>2253</v>
      </c>
      <c r="B1094" s="4" t="s">
        <v>2254</v>
      </c>
      <c r="C1094" s="22">
        <v>0.67</v>
      </c>
    </row>
    <row r="1095" spans="1:3">
      <c r="A1095" s="27" t="s">
        <v>2255</v>
      </c>
      <c r="B1095" s="4" t="s">
        <v>2256</v>
      </c>
      <c r="C1095" s="22">
        <v>0.67</v>
      </c>
    </row>
    <row r="1096" spans="1:3">
      <c r="A1096" s="27" t="s">
        <v>2257</v>
      </c>
      <c r="B1096" s="4" t="s">
        <v>2258</v>
      </c>
      <c r="C1096" s="22">
        <v>0.67</v>
      </c>
    </row>
    <row r="1097" spans="1:3">
      <c r="A1097" s="27" t="s">
        <v>2259</v>
      </c>
      <c r="B1097" s="4" t="s">
        <v>2260</v>
      </c>
      <c r="C1097" s="22">
        <v>0.67</v>
      </c>
    </row>
    <row r="1098" spans="1:3">
      <c r="A1098" s="27" t="s">
        <v>2261</v>
      </c>
      <c r="B1098" s="4" t="s">
        <v>2262</v>
      </c>
      <c r="C1098" s="22">
        <v>0.67</v>
      </c>
    </row>
    <row r="1099" spans="1:3">
      <c r="A1099" s="27" t="s">
        <v>2263</v>
      </c>
      <c r="B1099" s="4" t="s">
        <v>2264</v>
      </c>
      <c r="C1099" s="22">
        <v>0.67</v>
      </c>
    </row>
    <row r="1100" spans="1:3">
      <c r="A1100" s="27" t="s">
        <v>2265</v>
      </c>
      <c r="B1100" s="4" t="s">
        <v>2266</v>
      </c>
      <c r="C1100" s="22">
        <v>0.67</v>
      </c>
    </row>
    <row r="1101" spans="1:3">
      <c r="A1101" s="27" t="s">
        <v>2267</v>
      </c>
      <c r="B1101" s="4" t="s">
        <v>2268</v>
      </c>
      <c r="C1101" s="22">
        <v>0.67</v>
      </c>
    </row>
    <row r="1102" spans="1:3">
      <c r="A1102" s="27" t="s">
        <v>2269</v>
      </c>
      <c r="B1102" s="4" t="s">
        <v>2270</v>
      </c>
      <c r="C1102" s="22">
        <v>0.67</v>
      </c>
    </row>
    <row r="1103" spans="1:3">
      <c r="A1103" s="27" t="s">
        <v>2271</v>
      </c>
      <c r="B1103" s="4" t="s">
        <v>2272</v>
      </c>
      <c r="C1103" s="22">
        <v>0.67</v>
      </c>
    </row>
    <row r="1104" spans="1:3">
      <c r="A1104" s="27" t="s">
        <v>2273</v>
      </c>
      <c r="B1104" s="4" t="s">
        <v>2274</v>
      </c>
      <c r="C1104" s="22">
        <v>0.67</v>
      </c>
    </row>
    <row r="1105" spans="1:3">
      <c r="A1105" s="27" t="s">
        <v>2275</v>
      </c>
      <c r="B1105" s="4" t="s">
        <v>2276</v>
      </c>
      <c r="C1105" s="22">
        <v>0.67</v>
      </c>
    </row>
    <row r="1106" spans="1:3">
      <c r="A1106" s="27" t="s">
        <v>2277</v>
      </c>
      <c r="B1106" s="4" t="s">
        <v>2278</v>
      </c>
      <c r="C1106" s="22">
        <v>0.67</v>
      </c>
    </row>
    <row r="1107" spans="1:3">
      <c r="A1107" s="27" t="s">
        <v>2279</v>
      </c>
      <c r="B1107" s="4" t="s">
        <v>2280</v>
      </c>
      <c r="C1107" s="22">
        <v>0.67</v>
      </c>
    </row>
    <row r="1108" spans="1:3">
      <c r="A1108" s="27" t="s">
        <v>2281</v>
      </c>
      <c r="B1108" s="4" t="s">
        <v>2282</v>
      </c>
      <c r="C1108" s="22">
        <v>0.67</v>
      </c>
    </row>
    <row r="1109" spans="1:3">
      <c r="A1109" s="27" t="s">
        <v>2283</v>
      </c>
      <c r="B1109" s="4" t="s">
        <v>2284</v>
      </c>
      <c r="C1109" s="22">
        <v>0.67</v>
      </c>
    </row>
    <row r="1110" spans="1:3">
      <c r="A1110" s="27" t="s">
        <v>2285</v>
      </c>
      <c r="B1110" s="4" t="s">
        <v>2286</v>
      </c>
      <c r="C1110" s="22">
        <v>0.67</v>
      </c>
    </row>
    <row r="1111" spans="1:3">
      <c r="A1111" s="27" t="s">
        <v>2287</v>
      </c>
      <c r="B1111" s="4" t="s">
        <v>2288</v>
      </c>
      <c r="C1111" s="22">
        <v>0.67</v>
      </c>
    </row>
    <row r="1112" spans="1:3">
      <c r="A1112" s="27" t="s">
        <v>2289</v>
      </c>
      <c r="B1112" s="4" t="s">
        <v>2290</v>
      </c>
      <c r="C1112" s="22">
        <v>0.67</v>
      </c>
    </row>
    <row r="1113" spans="1:3">
      <c r="A1113" s="27" t="s">
        <v>2291</v>
      </c>
      <c r="B1113" s="4" t="s">
        <v>2292</v>
      </c>
      <c r="C1113" s="22">
        <v>0.67</v>
      </c>
    </row>
    <row r="1114" spans="1:3">
      <c r="A1114" s="27" t="s">
        <v>2293</v>
      </c>
      <c r="B1114" s="4" t="s">
        <v>2294</v>
      </c>
      <c r="C1114" s="22">
        <v>0.67</v>
      </c>
    </row>
    <row r="1115" spans="1:3">
      <c r="A1115" s="27" t="s">
        <v>2295</v>
      </c>
      <c r="B1115" s="4" t="s">
        <v>2296</v>
      </c>
      <c r="C1115" s="22">
        <v>0.78</v>
      </c>
    </row>
    <row r="1116" spans="1:3">
      <c r="A1116" s="27" t="s">
        <v>2297</v>
      </c>
      <c r="B1116" s="4" t="s">
        <v>2298</v>
      </c>
      <c r="C1116" s="22">
        <v>0.78</v>
      </c>
    </row>
    <row r="1117" spans="1:3">
      <c r="A1117" s="27" t="s">
        <v>2299</v>
      </c>
      <c r="B1117" s="4" t="s">
        <v>2300</v>
      </c>
      <c r="C1117" s="22">
        <v>0.78</v>
      </c>
    </row>
    <row r="1118" spans="1:3">
      <c r="A1118" s="27" t="s">
        <v>2301</v>
      </c>
      <c r="B1118" s="4" t="s">
        <v>2302</v>
      </c>
      <c r="C1118" s="22">
        <v>0.78</v>
      </c>
    </row>
    <row r="1119" spans="1:3">
      <c r="A1119" s="27" t="s">
        <v>2303</v>
      </c>
      <c r="B1119" s="4" t="s">
        <v>2304</v>
      </c>
      <c r="C1119" s="22">
        <v>0.78</v>
      </c>
    </row>
    <row r="1120" spans="1:3">
      <c r="A1120" s="27" t="s">
        <v>2305</v>
      </c>
      <c r="B1120" s="4" t="s">
        <v>2306</v>
      </c>
      <c r="C1120" s="22">
        <v>0.78</v>
      </c>
    </row>
    <row r="1121" spans="1:3">
      <c r="A1121" s="27" t="s">
        <v>2307</v>
      </c>
      <c r="B1121" s="4" t="s">
        <v>2308</v>
      </c>
      <c r="C1121" s="22">
        <v>0.78</v>
      </c>
    </row>
    <row r="1122" spans="1:3">
      <c r="A1122" s="27" t="s">
        <v>2309</v>
      </c>
      <c r="B1122" s="4" t="s">
        <v>2310</v>
      </c>
      <c r="C1122" s="22">
        <v>0.78</v>
      </c>
    </row>
    <row r="1123" spans="1:3">
      <c r="A1123" s="27" t="s">
        <v>2311</v>
      </c>
      <c r="B1123" s="4" t="s">
        <v>2312</v>
      </c>
      <c r="C1123" s="22">
        <v>0.78</v>
      </c>
    </row>
    <row r="1124" spans="1:3">
      <c r="A1124" s="27" t="s">
        <v>2313</v>
      </c>
      <c r="B1124" s="4" t="s">
        <v>2314</v>
      </c>
      <c r="C1124" s="22">
        <v>0.78</v>
      </c>
    </row>
    <row r="1125" spans="1:3">
      <c r="A1125" s="27" t="s">
        <v>2315</v>
      </c>
      <c r="B1125" s="4" t="s">
        <v>2316</v>
      </c>
      <c r="C1125" s="22">
        <v>0.78</v>
      </c>
    </row>
    <row r="1126" spans="1:3">
      <c r="A1126" s="27" t="s">
        <v>2317</v>
      </c>
      <c r="B1126" s="4" t="s">
        <v>2318</v>
      </c>
      <c r="C1126" s="22">
        <v>0.78</v>
      </c>
    </row>
    <row r="1127" spans="1:3">
      <c r="A1127" s="27" t="s">
        <v>2319</v>
      </c>
      <c r="B1127" s="4" t="s">
        <v>2320</v>
      </c>
      <c r="C1127" s="22">
        <v>0.78</v>
      </c>
    </row>
    <row r="1128" spans="1:3">
      <c r="A1128" s="27" t="s">
        <v>2321</v>
      </c>
      <c r="B1128" s="4" t="s">
        <v>2322</v>
      </c>
      <c r="C1128" s="22">
        <v>0.78</v>
      </c>
    </row>
    <row r="1129" spans="1:3">
      <c r="A1129" s="27" t="s">
        <v>2323</v>
      </c>
      <c r="B1129" s="4" t="s">
        <v>2324</v>
      </c>
      <c r="C1129" s="22">
        <v>0.78</v>
      </c>
    </row>
    <row r="1130" spans="1:3">
      <c r="A1130" s="27" t="s">
        <v>2325</v>
      </c>
      <c r="B1130" s="4" t="s">
        <v>2326</v>
      </c>
      <c r="C1130" s="22">
        <v>0.78</v>
      </c>
    </row>
    <row r="1131" spans="1:3">
      <c r="A1131" s="27" t="s">
        <v>2327</v>
      </c>
      <c r="B1131" s="4" t="s">
        <v>2328</v>
      </c>
      <c r="C1131" s="22">
        <v>0.78</v>
      </c>
    </row>
    <row r="1132" spans="1:3">
      <c r="A1132" s="27" t="s">
        <v>2329</v>
      </c>
      <c r="B1132" s="4" t="s">
        <v>2330</v>
      </c>
      <c r="C1132" s="22">
        <v>0.78</v>
      </c>
    </row>
    <row r="1133" spans="1:3">
      <c r="A1133" s="27" t="s">
        <v>2331</v>
      </c>
      <c r="B1133" s="4" t="s">
        <v>2332</v>
      </c>
      <c r="C1133" s="22">
        <v>0.78</v>
      </c>
    </row>
    <row r="1134" spans="1:3">
      <c r="A1134" s="27" t="s">
        <v>2333</v>
      </c>
      <c r="B1134" s="4" t="s">
        <v>2334</v>
      </c>
      <c r="C1134" s="22">
        <v>0.78</v>
      </c>
    </row>
    <row r="1135" spans="1:3">
      <c r="A1135" s="27" t="s">
        <v>2335</v>
      </c>
      <c r="B1135" s="4" t="s">
        <v>2336</v>
      </c>
      <c r="C1135" s="22">
        <v>0.78</v>
      </c>
    </row>
    <row r="1136" spans="1:3">
      <c r="A1136" s="27" t="s">
        <v>2337</v>
      </c>
      <c r="B1136" s="4" t="s">
        <v>2338</v>
      </c>
      <c r="C1136" s="22">
        <v>0.78</v>
      </c>
    </row>
    <row r="1137" spans="1:3">
      <c r="A1137" s="27" t="s">
        <v>2339</v>
      </c>
      <c r="B1137" s="4" t="s">
        <v>2340</v>
      </c>
      <c r="C1137" s="22">
        <v>0.78</v>
      </c>
    </row>
    <row r="1138" spans="1:3">
      <c r="A1138" s="27" t="s">
        <v>2341</v>
      </c>
      <c r="B1138" s="4" t="s">
        <v>2342</v>
      </c>
      <c r="C1138" s="22">
        <v>0.78</v>
      </c>
    </row>
    <row r="1139" spans="1:3">
      <c r="A1139" s="27" t="s">
        <v>2343</v>
      </c>
      <c r="B1139" s="4" t="s">
        <v>2344</v>
      </c>
      <c r="C1139" s="22">
        <v>0.78</v>
      </c>
    </row>
    <row r="1140" spans="1:3">
      <c r="A1140" s="27" t="s">
        <v>2345</v>
      </c>
      <c r="B1140" s="4" t="s">
        <v>2346</v>
      </c>
      <c r="C1140" s="22">
        <v>0.78</v>
      </c>
    </row>
    <row r="1141" spans="1:3">
      <c r="A1141" s="27" t="s">
        <v>2347</v>
      </c>
      <c r="B1141" s="4" t="s">
        <v>2348</v>
      </c>
      <c r="C1141" s="22">
        <v>0.78</v>
      </c>
    </row>
    <row r="1142" spans="1:3">
      <c r="A1142" s="27" t="s">
        <v>2349</v>
      </c>
      <c r="B1142" s="4" t="s">
        <v>2350</v>
      </c>
      <c r="C1142" s="22">
        <v>0.78</v>
      </c>
    </row>
    <row r="1143" spans="1:3">
      <c r="A1143" s="27" t="s">
        <v>2351</v>
      </c>
      <c r="B1143" s="4" t="s">
        <v>2352</v>
      </c>
      <c r="C1143" s="22">
        <v>0.78</v>
      </c>
    </row>
    <row r="1144" spans="1:3">
      <c r="A1144" s="27" t="s">
        <v>2353</v>
      </c>
      <c r="B1144" s="4" t="s">
        <v>2354</v>
      </c>
      <c r="C1144" s="22">
        <v>0.78</v>
      </c>
    </row>
    <row r="1145" spans="1:3">
      <c r="A1145" s="27" t="s">
        <v>2355</v>
      </c>
      <c r="B1145" s="4" t="s">
        <v>2356</v>
      </c>
      <c r="C1145" s="22">
        <v>0.78</v>
      </c>
    </row>
    <row r="1146" spans="1:3">
      <c r="A1146" s="27" t="s">
        <v>2357</v>
      </c>
      <c r="B1146" s="4" t="s">
        <v>2358</v>
      </c>
      <c r="C1146" s="22">
        <v>0.78</v>
      </c>
    </row>
    <row r="1147" spans="1:3">
      <c r="A1147" s="27" t="s">
        <v>2359</v>
      </c>
      <c r="B1147" s="4" t="s">
        <v>2360</v>
      </c>
      <c r="C1147" s="22">
        <v>0.78</v>
      </c>
    </row>
    <row r="1148" spans="1:3">
      <c r="A1148" s="27" t="s">
        <v>2361</v>
      </c>
      <c r="B1148" s="4" t="s">
        <v>2362</v>
      </c>
      <c r="C1148" s="22">
        <v>0.78</v>
      </c>
    </row>
    <row r="1149" spans="1:3">
      <c r="A1149" s="27" t="s">
        <v>2363</v>
      </c>
      <c r="B1149" s="4" t="s">
        <v>2364</v>
      </c>
      <c r="C1149" s="22">
        <v>0.78</v>
      </c>
    </row>
    <row r="1150" spans="1:3">
      <c r="A1150" s="27" t="s">
        <v>2365</v>
      </c>
      <c r="B1150" s="4" t="s">
        <v>2366</v>
      </c>
      <c r="C1150" s="22">
        <v>0.78</v>
      </c>
    </row>
    <row r="1151" spans="1:3">
      <c r="A1151" s="27" t="s">
        <v>2367</v>
      </c>
      <c r="B1151" s="4" t="s">
        <v>2368</v>
      </c>
      <c r="C1151" s="22">
        <v>0.78</v>
      </c>
    </row>
    <row r="1152" spans="1:3">
      <c r="A1152" s="27" t="s">
        <v>2369</v>
      </c>
      <c r="B1152" s="4" t="s">
        <v>2370</v>
      </c>
      <c r="C1152" s="22">
        <v>0.78</v>
      </c>
    </row>
    <row r="1153" spans="1:3">
      <c r="A1153" s="27" t="s">
        <v>2371</v>
      </c>
      <c r="B1153" s="4" t="s">
        <v>2372</v>
      </c>
      <c r="C1153" s="22">
        <v>0.78</v>
      </c>
    </row>
    <row r="1154" spans="1:3">
      <c r="A1154" s="27" t="s">
        <v>2373</v>
      </c>
      <c r="B1154" s="4" t="s">
        <v>2374</v>
      </c>
      <c r="C1154" s="22">
        <v>0.78</v>
      </c>
    </row>
    <row r="1155" spans="1:3">
      <c r="A1155" s="27" t="s">
        <v>2375</v>
      </c>
      <c r="B1155" s="4" t="s">
        <v>2376</v>
      </c>
      <c r="C1155" s="22">
        <v>0.78</v>
      </c>
    </row>
    <row r="1156" spans="1:3">
      <c r="A1156" s="27" t="s">
        <v>2377</v>
      </c>
      <c r="B1156" s="4" t="s">
        <v>2378</v>
      </c>
      <c r="C1156" s="22">
        <v>0.78</v>
      </c>
    </row>
    <row r="1157" spans="1:3">
      <c r="A1157" s="27" t="s">
        <v>2379</v>
      </c>
      <c r="B1157" s="4" t="s">
        <v>2380</v>
      </c>
      <c r="C1157" s="22">
        <v>0.78</v>
      </c>
    </row>
    <row r="1158" spans="1:3">
      <c r="A1158" s="27" t="s">
        <v>2381</v>
      </c>
      <c r="B1158" s="4" t="s">
        <v>2382</v>
      </c>
      <c r="C1158" s="22">
        <v>0.78</v>
      </c>
    </row>
    <row r="1159" spans="1:3">
      <c r="A1159" s="27" t="s">
        <v>2383</v>
      </c>
      <c r="B1159" s="4" t="s">
        <v>2384</v>
      </c>
      <c r="C1159" s="22">
        <v>0.78</v>
      </c>
    </row>
    <row r="1160" spans="1:3">
      <c r="A1160" s="27" t="s">
        <v>2385</v>
      </c>
      <c r="B1160" s="4" t="s">
        <v>2386</v>
      </c>
      <c r="C1160" s="22">
        <v>0.78</v>
      </c>
    </row>
    <row r="1161" spans="1:3">
      <c r="A1161" s="27" t="s">
        <v>2387</v>
      </c>
      <c r="B1161" s="4" t="s">
        <v>2388</v>
      </c>
      <c r="C1161" s="22">
        <v>0.78</v>
      </c>
    </row>
    <row r="1162" spans="1:3">
      <c r="A1162" s="27" t="s">
        <v>2389</v>
      </c>
      <c r="B1162" s="4" t="s">
        <v>2390</v>
      </c>
      <c r="C1162" s="22">
        <v>0.78</v>
      </c>
    </row>
    <row r="1163" spans="1:3">
      <c r="A1163" s="27" t="s">
        <v>2391</v>
      </c>
      <c r="B1163" s="4" t="s">
        <v>2392</v>
      </c>
      <c r="C1163" s="22">
        <v>0.67</v>
      </c>
    </row>
    <row r="1164" spans="1:3">
      <c r="A1164" s="27" t="s">
        <v>2393</v>
      </c>
      <c r="B1164" s="4" t="s">
        <v>2394</v>
      </c>
      <c r="C1164" s="22">
        <v>0.67</v>
      </c>
    </row>
    <row r="1165" spans="1:3">
      <c r="A1165" s="27" t="s">
        <v>2395</v>
      </c>
      <c r="B1165" s="4" t="s">
        <v>2396</v>
      </c>
      <c r="C1165" s="22">
        <v>0.67</v>
      </c>
    </row>
    <row r="1166" spans="1:3">
      <c r="A1166" s="27" t="s">
        <v>2397</v>
      </c>
      <c r="B1166" s="4" t="s">
        <v>2398</v>
      </c>
      <c r="C1166" s="22">
        <v>0.67</v>
      </c>
    </row>
    <row r="1167" spans="1:3">
      <c r="A1167" s="27" t="s">
        <v>2399</v>
      </c>
      <c r="B1167" s="4" t="s">
        <v>2400</v>
      </c>
      <c r="C1167" s="22">
        <v>0.67</v>
      </c>
    </row>
    <row r="1168" spans="1:3">
      <c r="A1168" s="27" t="s">
        <v>2401</v>
      </c>
      <c r="B1168" s="4" t="s">
        <v>2402</v>
      </c>
      <c r="C1168" s="22">
        <v>0.67</v>
      </c>
    </row>
    <row r="1169" spans="1:3">
      <c r="A1169" s="27" t="s">
        <v>2403</v>
      </c>
      <c r="B1169" s="4" t="s">
        <v>2404</v>
      </c>
      <c r="C1169" s="22">
        <v>0.67</v>
      </c>
    </row>
    <row r="1170" spans="1:3">
      <c r="A1170" s="27" t="s">
        <v>2405</v>
      </c>
      <c r="B1170" s="4" t="s">
        <v>2406</v>
      </c>
      <c r="C1170" s="22">
        <v>0.67</v>
      </c>
    </row>
    <row r="1171" spans="1:3">
      <c r="A1171" s="27" t="s">
        <v>2407</v>
      </c>
      <c r="B1171" s="4" t="s">
        <v>2408</v>
      </c>
      <c r="C1171" s="22">
        <v>0.67</v>
      </c>
    </row>
    <row r="1172" spans="1:3">
      <c r="A1172" s="27" t="s">
        <v>2409</v>
      </c>
      <c r="B1172" s="4" t="s">
        <v>2410</v>
      </c>
      <c r="C1172" s="22">
        <v>0.67</v>
      </c>
    </row>
    <row r="1173" spans="1:3">
      <c r="A1173" s="27" t="s">
        <v>2411</v>
      </c>
      <c r="B1173" s="4" t="s">
        <v>2412</v>
      </c>
      <c r="C1173" s="22">
        <v>0.67</v>
      </c>
    </row>
    <row r="1174" spans="1:3">
      <c r="A1174" s="27" t="s">
        <v>2413</v>
      </c>
      <c r="B1174" s="4" t="s">
        <v>2414</v>
      </c>
      <c r="C1174" s="22">
        <v>0.67</v>
      </c>
    </row>
    <row r="1175" spans="1:3">
      <c r="A1175" s="27" t="s">
        <v>2415</v>
      </c>
      <c r="B1175" s="4" t="s">
        <v>2416</v>
      </c>
      <c r="C1175" s="22">
        <v>0.67</v>
      </c>
    </row>
    <row r="1176" spans="1:3">
      <c r="A1176" s="27" t="s">
        <v>2417</v>
      </c>
      <c r="B1176" s="4" t="s">
        <v>2418</v>
      </c>
      <c r="C1176" s="22">
        <v>0.67</v>
      </c>
    </row>
    <row r="1177" spans="1:3">
      <c r="A1177" s="27" t="s">
        <v>2419</v>
      </c>
      <c r="B1177" s="4" t="s">
        <v>2420</v>
      </c>
      <c r="C1177" s="22">
        <v>0.67</v>
      </c>
    </row>
    <row r="1178" spans="1:3">
      <c r="A1178" s="27" t="s">
        <v>2421</v>
      </c>
      <c r="B1178" s="4" t="s">
        <v>2422</v>
      </c>
      <c r="C1178" s="22">
        <v>0.67</v>
      </c>
    </row>
    <row r="1179" spans="1:3">
      <c r="A1179" s="27" t="s">
        <v>2423</v>
      </c>
      <c r="B1179" s="4" t="s">
        <v>2424</v>
      </c>
      <c r="C1179" s="22">
        <v>0.67</v>
      </c>
    </row>
    <row r="1180" spans="1:3">
      <c r="A1180" s="27" t="s">
        <v>2425</v>
      </c>
      <c r="B1180" s="4" t="s">
        <v>2426</v>
      </c>
      <c r="C1180" s="22">
        <v>0.67</v>
      </c>
    </row>
    <row r="1181" spans="1:3">
      <c r="A1181" s="27" t="s">
        <v>2427</v>
      </c>
      <c r="B1181" s="4" t="s">
        <v>2428</v>
      </c>
      <c r="C1181" s="22">
        <v>0.67</v>
      </c>
    </row>
    <row r="1182" spans="1:3">
      <c r="A1182" s="27" t="s">
        <v>2429</v>
      </c>
      <c r="B1182" s="4" t="s">
        <v>2430</v>
      </c>
      <c r="C1182" s="22">
        <v>0.67</v>
      </c>
    </row>
    <row r="1183" spans="1:3">
      <c r="A1183" s="27" t="s">
        <v>2431</v>
      </c>
      <c r="B1183" s="4" t="s">
        <v>2432</v>
      </c>
      <c r="C1183" s="22">
        <v>0.67</v>
      </c>
    </row>
    <row r="1184" spans="1:3">
      <c r="A1184" s="27" t="s">
        <v>2433</v>
      </c>
      <c r="B1184" s="4" t="s">
        <v>2434</v>
      </c>
      <c r="C1184" s="22">
        <v>0.67</v>
      </c>
    </row>
    <row r="1185" spans="1:3">
      <c r="A1185" s="27" t="s">
        <v>2435</v>
      </c>
      <c r="B1185" s="4" t="s">
        <v>2436</v>
      </c>
      <c r="C1185" s="22">
        <v>0.67</v>
      </c>
    </row>
    <row r="1186" spans="1:3">
      <c r="A1186" s="27" t="s">
        <v>2437</v>
      </c>
      <c r="B1186" s="4" t="s">
        <v>2438</v>
      </c>
      <c r="C1186" s="22">
        <v>0.67</v>
      </c>
    </row>
    <row r="1187" spans="1:3">
      <c r="A1187" s="27" t="s">
        <v>2439</v>
      </c>
      <c r="B1187" s="4" t="s">
        <v>2440</v>
      </c>
      <c r="C1187" s="22">
        <v>0.67</v>
      </c>
    </row>
    <row r="1188" spans="1:3">
      <c r="A1188" s="27" t="s">
        <v>2441</v>
      </c>
      <c r="B1188" s="4" t="s">
        <v>2442</v>
      </c>
      <c r="C1188" s="22">
        <v>0.67</v>
      </c>
    </row>
    <row r="1189" spans="1:3">
      <c r="A1189" s="27" t="s">
        <v>2443</v>
      </c>
      <c r="B1189" s="4" t="s">
        <v>2444</v>
      </c>
      <c r="C1189" s="22">
        <v>0.67</v>
      </c>
    </row>
    <row r="1190" spans="1:3">
      <c r="A1190" s="27" t="s">
        <v>2445</v>
      </c>
      <c r="B1190" s="4" t="s">
        <v>2446</v>
      </c>
      <c r="C1190" s="22">
        <v>0.67</v>
      </c>
    </row>
    <row r="1191" spans="1:3">
      <c r="A1191" s="27" t="s">
        <v>2447</v>
      </c>
      <c r="B1191" s="4" t="s">
        <v>2448</v>
      </c>
      <c r="C1191" s="22">
        <v>0.67</v>
      </c>
    </row>
    <row r="1192" spans="1:3">
      <c r="A1192" s="27" t="s">
        <v>2449</v>
      </c>
      <c r="B1192" s="4" t="s">
        <v>2450</v>
      </c>
      <c r="C1192" s="22">
        <v>0.67</v>
      </c>
    </row>
    <row r="1193" spans="1:3">
      <c r="A1193" s="27" t="s">
        <v>2451</v>
      </c>
      <c r="B1193" s="4" t="s">
        <v>2452</v>
      </c>
      <c r="C1193" s="22">
        <v>0.67</v>
      </c>
    </row>
    <row r="1194" spans="1:3">
      <c r="A1194" s="27" t="s">
        <v>2453</v>
      </c>
      <c r="B1194" s="4" t="s">
        <v>2454</v>
      </c>
      <c r="C1194" s="22">
        <v>0.67</v>
      </c>
    </row>
    <row r="1195" spans="1:3">
      <c r="A1195" s="27" t="s">
        <v>2455</v>
      </c>
      <c r="B1195" s="4" t="s">
        <v>2456</v>
      </c>
      <c r="C1195" s="22">
        <v>0.67</v>
      </c>
    </row>
    <row r="1196" spans="1:3">
      <c r="A1196" s="27" t="s">
        <v>2457</v>
      </c>
      <c r="B1196" s="4" t="s">
        <v>2458</v>
      </c>
      <c r="C1196" s="22">
        <v>0.67</v>
      </c>
    </row>
    <row r="1197" spans="1:3">
      <c r="A1197" s="27" t="s">
        <v>2459</v>
      </c>
      <c r="B1197" s="4" t="s">
        <v>2460</v>
      </c>
      <c r="C1197" s="22">
        <v>0.67</v>
      </c>
    </row>
    <row r="1198" spans="1:3">
      <c r="A1198" s="27" t="s">
        <v>2461</v>
      </c>
      <c r="B1198" s="4" t="s">
        <v>2462</v>
      </c>
      <c r="C1198" s="22">
        <v>0.67</v>
      </c>
    </row>
    <row r="1199" spans="1:3">
      <c r="A1199" s="27" t="s">
        <v>2463</v>
      </c>
      <c r="B1199" s="4" t="s">
        <v>2464</v>
      </c>
      <c r="C1199" s="22">
        <v>0.67</v>
      </c>
    </row>
    <row r="1200" spans="1:3">
      <c r="A1200" s="27" t="s">
        <v>2465</v>
      </c>
      <c r="B1200" s="4" t="s">
        <v>2466</v>
      </c>
      <c r="C1200" s="22">
        <v>0.67</v>
      </c>
    </row>
    <row r="1201" spans="1:3">
      <c r="A1201" s="27" t="s">
        <v>2467</v>
      </c>
      <c r="B1201" s="4" t="s">
        <v>2468</v>
      </c>
      <c r="C1201" s="22">
        <v>0.67</v>
      </c>
    </row>
    <row r="1202" spans="1:3">
      <c r="A1202" s="27" t="s">
        <v>2469</v>
      </c>
      <c r="B1202" s="4" t="s">
        <v>2470</v>
      </c>
      <c r="C1202" s="22">
        <v>0.67</v>
      </c>
    </row>
    <row r="1203" spans="1:3">
      <c r="A1203" s="27" t="s">
        <v>2471</v>
      </c>
      <c r="B1203" s="4" t="s">
        <v>2472</v>
      </c>
      <c r="C1203" s="22">
        <v>0.67</v>
      </c>
    </row>
    <row r="1204" spans="1:3">
      <c r="A1204" s="27" t="s">
        <v>2473</v>
      </c>
      <c r="B1204" s="4" t="s">
        <v>2474</v>
      </c>
      <c r="C1204" s="22">
        <v>0.67</v>
      </c>
    </row>
    <row r="1205" spans="1:3">
      <c r="A1205" s="27" t="s">
        <v>2475</v>
      </c>
      <c r="B1205" s="4" t="s">
        <v>2476</v>
      </c>
      <c r="C1205" s="22">
        <v>0.67</v>
      </c>
    </row>
    <row r="1206" spans="1:3">
      <c r="A1206" s="27" t="s">
        <v>2477</v>
      </c>
      <c r="B1206" s="4" t="s">
        <v>2478</v>
      </c>
      <c r="C1206" s="22">
        <v>0.67</v>
      </c>
    </row>
    <row r="1207" spans="1:3">
      <c r="A1207" s="27" t="s">
        <v>2479</v>
      </c>
      <c r="B1207" s="4" t="s">
        <v>2480</v>
      </c>
      <c r="C1207" s="22">
        <v>0.67</v>
      </c>
    </row>
    <row r="1208" spans="1:3">
      <c r="A1208" s="27" t="s">
        <v>2481</v>
      </c>
      <c r="B1208" s="4" t="s">
        <v>2482</v>
      </c>
      <c r="C1208" s="22">
        <v>0.67</v>
      </c>
    </row>
    <row r="1209" spans="1:3">
      <c r="A1209" s="27" t="s">
        <v>2483</v>
      </c>
      <c r="B1209" s="4" t="s">
        <v>2484</v>
      </c>
      <c r="C1209" s="22">
        <v>0.67</v>
      </c>
    </row>
    <row r="1210" spans="1:3">
      <c r="A1210" s="27" t="s">
        <v>2485</v>
      </c>
      <c r="B1210" s="4" t="s">
        <v>2486</v>
      </c>
      <c r="C1210" s="22">
        <v>0.67</v>
      </c>
    </row>
    <row r="1211" spans="1:3">
      <c r="A1211" s="27" t="s">
        <v>2487</v>
      </c>
      <c r="B1211" s="4" t="s">
        <v>2488</v>
      </c>
      <c r="C1211" s="22">
        <v>0.67</v>
      </c>
    </row>
    <row r="1212" spans="1:3">
      <c r="A1212" s="27" t="s">
        <v>2489</v>
      </c>
      <c r="B1212" s="4" t="s">
        <v>2490</v>
      </c>
      <c r="C1212" s="22">
        <v>0.67</v>
      </c>
    </row>
    <row r="1213" spans="1:3">
      <c r="A1213" s="27" t="s">
        <v>2491</v>
      </c>
      <c r="B1213" s="4" t="s">
        <v>2492</v>
      </c>
      <c r="C1213" s="22">
        <v>0.67</v>
      </c>
    </row>
    <row r="1214" spans="1:3">
      <c r="A1214" s="27" t="s">
        <v>2493</v>
      </c>
      <c r="B1214" s="4" t="s">
        <v>2494</v>
      </c>
      <c r="C1214" s="22">
        <v>0.67</v>
      </c>
    </row>
    <row r="1215" spans="1:3">
      <c r="A1215" s="27" t="s">
        <v>2495</v>
      </c>
      <c r="B1215" s="4" t="s">
        <v>2496</v>
      </c>
      <c r="C1215" s="22">
        <v>0.67</v>
      </c>
    </row>
    <row r="1216" spans="1:3">
      <c r="A1216" s="27" t="s">
        <v>2497</v>
      </c>
      <c r="B1216" s="4" t="s">
        <v>2498</v>
      </c>
      <c r="C1216" s="22">
        <v>0.67</v>
      </c>
    </row>
    <row r="1217" spans="1:3">
      <c r="A1217" s="27" t="s">
        <v>2499</v>
      </c>
      <c r="B1217" s="4" t="s">
        <v>2500</v>
      </c>
      <c r="C1217" s="22">
        <v>0.67</v>
      </c>
    </row>
    <row r="1218" spans="1:3">
      <c r="A1218" s="27" t="s">
        <v>2501</v>
      </c>
      <c r="B1218" s="4" t="s">
        <v>2502</v>
      </c>
      <c r="C1218" s="22">
        <v>0.67</v>
      </c>
    </row>
    <row r="1219" spans="1:3">
      <c r="A1219" s="27" t="s">
        <v>2503</v>
      </c>
      <c r="B1219" s="4" t="s">
        <v>2504</v>
      </c>
      <c r="C1219" s="22">
        <v>0.67</v>
      </c>
    </row>
    <row r="1220" spans="1:3">
      <c r="A1220" s="27" t="s">
        <v>2505</v>
      </c>
      <c r="B1220" s="4" t="s">
        <v>2506</v>
      </c>
      <c r="C1220" s="22">
        <v>0.67</v>
      </c>
    </row>
    <row r="1221" spans="1:3">
      <c r="A1221" s="27" t="s">
        <v>2507</v>
      </c>
      <c r="B1221" s="4" t="s">
        <v>2508</v>
      </c>
      <c r="C1221" s="22">
        <v>0.67</v>
      </c>
    </row>
    <row r="1222" spans="1:3">
      <c r="A1222" s="27" t="s">
        <v>2509</v>
      </c>
      <c r="B1222" s="4" t="s">
        <v>2510</v>
      </c>
      <c r="C1222" s="22">
        <v>0.67</v>
      </c>
    </row>
    <row r="1223" spans="1:3">
      <c r="A1223" s="27" t="s">
        <v>2511</v>
      </c>
      <c r="B1223" s="4" t="s">
        <v>2512</v>
      </c>
      <c r="C1223" s="22">
        <v>0.67</v>
      </c>
    </row>
    <row r="1224" spans="1:3">
      <c r="A1224" s="27" t="s">
        <v>2513</v>
      </c>
      <c r="B1224" s="4" t="s">
        <v>2514</v>
      </c>
      <c r="C1224" s="22">
        <v>0.67</v>
      </c>
    </row>
    <row r="1225" spans="1:3">
      <c r="A1225" s="27" t="s">
        <v>2515</v>
      </c>
      <c r="B1225" s="4" t="s">
        <v>2516</v>
      </c>
      <c r="C1225" s="22">
        <v>0.67</v>
      </c>
    </row>
    <row r="1226" spans="1:3">
      <c r="A1226" s="27" t="s">
        <v>2517</v>
      </c>
      <c r="B1226" s="4" t="s">
        <v>2518</v>
      </c>
      <c r="C1226" s="22">
        <v>0.67</v>
      </c>
    </row>
    <row r="1227" spans="1:3">
      <c r="A1227" s="27" t="s">
        <v>2519</v>
      </c>
      <c r="B1227" s="4" t="s">
        <v>2520</v>
      </c>
      <c r="C1227" s="22">
        <v>0.67</v>
      </c>
    </row>
    <row r="1228" spans="1:3">
      <c r="A1228" s="27" t="s">
        <v>2521</v>
      </c>
      <c r="B1228" s="4" t="s">
        <v>2522</v>
      </c>
      <c r="C1228" s="22">
        <v>0.67</v>
      </c>
    </row>
    <row r="1229" spans="1:3">
      <c r="A1229" s="27" t="s">
        <v>2523</v>
      </c>
      <c r="B1229" s="4" t="s">
        <v>2524</v>
      </c>
      <c r="C1229" s="22">
        <v>0.67</v>
      </c>
    </row>
    <row r="1230" spans="1:3">
      <c r="A1230" s="27" t="s">
        <v>2525</v>
      </c>
      <c r="B1230" s="4" t="s">
        <v>2526</v>
      </c>
      <c r="C1230" s="22">
        <v>0.67</v>
      </c>
    </row>
    <row r="1231" spans="1:3">
      <c r="A1231" s="27" t="s">
        <v>2527</v>
      </c>
      <c r="B1231" s="4" t="s">
        <v>2528</v>
      </c>
      <c r="C1231" s="22">
        <v>0.67</v>
      </c>
    </row>
    <row r="1232" spans="1:3">
      <c r="A1232" s="27" t="s">
        <v>2529</v>
      </c>
      <c r="B1232" s="4" t="s">
        <v>2530</v>
      </c>
      <c r="C1232" s="22">
        <v>0.67</v>
      </c>
    </row>
    <row r="1233" spans="1:3">
      <c r="A1233" s="27" t="s">
        <v>2531</v>
      </c>
      <c r="B1233" s="4" t="s">
        <v>2142</v>
      </c>
      <c r="C1233" s="22">
        <v>0.67</v>
      </c>
    </row>
    <row r="1234" spans="1:3">
      <c r="A1234" s="27" t="s">
        <v>2532</v>
      </c>
      <c r="B1234" s="4" t="s">
        <v>2142</v>
      </c>
      <c r="C1234" s="22">
        <v>0.67</v>
      </c>
    </row>
    <row r="1235" spans="1:3">
      <c r="A1235" s="27" t="s">
        <v>2533</v>
      </c>
      <c r="B1235" s="4" t="s">
        <v>2534</v>
      </c>
      <c r="C1235" s="22">
        <v>0.67</v>
      </c>
    </row>
    <row r="1236" spans="1:3">
      <c r="A1236" s="27" t="s">
        <v>2535</v>
      </c>
      <c r="B1236" s="4" t="s">
        <v>2536</v>
      </c>
      <c r="C1236" s="22">
        <v>0.67</v>
      </c>
    </row>
    <row r="1237" spans="1:3">
      <c r="A1237" s="27" t="s">
        <v>2537</v>
      </c>
      <c r="B1237" s="4" t="s">
        <v>2538</v>
      </c>
      <c r="C1237" s="22">
        <v>0.67</v>
      </c>
    </row>
    <row r="1238" spans="1:3">
      <c r="A1238" s="27" t="s">
        <v>2539</v>
      </c>
      <c r="B1238" s="4" t="s">
        <v>2540</v>
      </c>
      <c r="C1238" s="22">
        <v>0.67</v>
      </c>
    </row>
    <row r="1239" spans="1:3">
      <c r="A1239" s="27" t="s">
        <v>2541</v>
      </c>
      <c r="B1239" s="4" t="s">
        <v>2542</v>
      </c>
      <c r="C1239" s="22">
        <v>0.67</v>
      </c>
    </row>
    <row r="1240" spans="1:3">
      <c r="A1240" s="27" t="s">
        <v>2543</v>
      </c>
      <c r="B1240" s="4" t="s">
        <v>2544</v>
      </c>
      <c r="C1240" s="22">
        <v>0.67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2025-09-18T14:41:55Z</dcterms:created>
  <dcterms:modified xsi:type="dcterms:W3CDTF">2025-09-18T14:41:55Z</dcterms:modified>
  <cp:category/>
  <cp:contentStatus/>
</cp:coreProperties>
</file>